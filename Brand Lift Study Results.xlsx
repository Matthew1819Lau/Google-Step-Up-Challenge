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ukitlau/Desktop/Google-step-up-challenge/"/>
    </mc:Choice>
  </mc:AlternateContent>
  <xr:revisionPtr revIDLastSave="0" documentId="13_ncr:1_{D5117F84-1F06-8F40-B6FF-35A1E012F685}" xr6:coauthVersionLast="47" xr6:coauthVersionMax="47" xr10:uidLastSave="{00000000-0000-0000-0000-000000000000}"/>
  <bookViews>
    <workbookView xWindow="0" yWindow="660" windowWidth="29400" windowHeight="17160" activeTab="1" xr2:uid="{00000000-000D-0000-FFFF-FFFF00000000}"/>
  </bookViews>
  <sheets>
    <sheet name="Brand Lift Study Results_Origin" sheetId="1" r:id="rId1"/>
    <sheet name="Brand Lift Study Results_Result" sheetId="2" r:id="rId2"/>
  </sheets>
  <externalReferences>
    <externalReference r:id="rId3"/>
    <externalReference r:id="rId4"/>
  </externalReferences>
  <definedNames>
    <definedName name="_xlnm._FilterDatabase" localSheetId="1" hidden="1">'Brand Lift Study Results_Result'!$T$1:$T$49</definedName>
  </definedNames>
  <calcPr calcId="191029"/>
  <pivotCaches>
    <pivotCache cacheId="7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2" i="2"/>
  <c r="L44" i="2"/>
  <c r="M44" i="2" s="1"/>
  <c r="O44" i="2" s="1"/>
  <c r="L4" i="2"/>
  <c r="M4" i="2" s="1"/>
  <c r="O4" i="2" s="1"/>
  <c r="L32" i="2"/>
  <c r="M32" i="2" s="1"/>
  <c r="O32" i="2" s="1"/>
  <c r="L48" i="2"/>
  <c r="M48" i="2" s="1"/>
  <c r="O48" i="2" s="1"/>
  <c r="L7" i="2"/>
  <c r="M7" i="2" s="1"/>
  <c r="O7" i="2" s="1"/>
  <c r="L5" i="2"/>
  <c r="M5" i="2" s="1"/>
  <c r="O5" i="2" s="1"/>
  <c r="L11" i="2"/>
  <c r="M11" i="2" s="1"/>
  <c r="O11" i="2" s="1"/>
  <c r="L10" i="2"/>
  <c r="M10" i="2" s="1"/>
  <c r="O10" i="2" s="1"/>
  <c r="L6" i="2"/>
  <c r="M6" i="2" s="1"/>
  <c r="O6" i="2" s="1"/>
  <c r="L20" i="2"/>
  <c r="M20" i="2" s="1"/>
  <c r="O20" i="2" s="1"/>
  <c r="L13" i="2"/>
  <c r="M13" i="2" s="1"/>
  <c r="O13" i="2" s="1"/>
  <c r="L15" i="2"/>
  <c r="M15" i="2" s="1"/>
  <c r="O15" i="2" s="1"/>
  <c r="L47" i="2"/>
  <c r="M47" i="2" s="1"/>
  <c r="O47" i="2" s="1"/>
  <c r="L16" i="2"/>
  <c r="M16" i="2" s="1"/>
  <c r="O16" i="2" s="1"/>
  <c r="L29" i="2"/>
  <c r="M29" i="2" s="1"/>
  <c r="O29" i="2" s="1"/>
  <c r="L21" i="2"/>
  <c r="M21" i="2" s="1"/>
  <c r="O21" i="2" s="1"/>
  <c r="L19" i="2"/>
  <c r="M19" i="2" s="1"/>
  <c r="O19" i="2" s="1"/>
  <c r="L12" i="2"/>
  <c r="M12" i="2" s="1"/>
  <c r="O12" i="2" s="1"/>
  <c r="L35" i="2"/>
  <c r="M35" i="2" s="1"/>
  <c r="O35" i="2" s="1"/>
  <c r="L22" i="2"/>
  <c r="M22" i="2" s="1"/>
  <c r="O22" i="2" s="1"/>
  <c r="L27" i="2"/>
  <c r="M27" i="2" s="1"/>
  <c r="O27" i="2" s="1"/>
  <c r="L9" i="2"/>
  <c r="M9" i="2" s="1"/>
  <c r="O9" i="2" s="1"/>
  <c r="L25" i="2"/>
  <c r="M25" i="2" s="1"/>
  <c r="O25" i="2" s="1"/>
  <c r="L45" i="2"/>
  <c r="M45" i="2" s="1"/>
  <c r="O45" i="2" s="1"/>
  <c r="L30" i="2"/>
  <c r="M30" i="2" s="1"/>
  <c r="O30" i="2" s="1"/>
  <c r="L28" i="2"/>
  <c r="M28" i="2" s="1"/>
  <c r="O28" i="2" s="1"/>
  <c r="L23" i="2"/>
  <c r="M23" i="2" s="1"/>
  <c r="O23" i="2" s="1"/>
  <c r="L36" i="2"/>
  <c r="M36" i="2" s="1"/>
  <c r="O36" i="2" s="1"/>
  <c r="L31" i="2"/>
  <c r="M31" i="2" s="1"/>
  <c r="O31" i="2" s="1"/>
  <c r="L26" i="2"/>
  <c r="M26" i="2" s="1"/>
  <c r="O26" i="2" s="1"/>
  <c r="L8" i="2"/>
  <c r="M8" i="2" s="1"/>
  <c r="O8" i="2" s="1"/>
  <c r="L34" i="2"/>
  <c r="M34" i="2" s="1"/>
  <c r="O34" i="2" s="1"/>
  <c r="L42" i="2"/>
  <c r="M42" i="2" s="1"/>
  <c r="O42" i="2" s="1"/>
  <c r="L3" i="2"/>
  <c r="M3" i="2" s="1"/>
  <c r="O3" i="2" s="1"/>
  <c r="L37" i="2"/>
  <c r="M37" i="2" s="1"/>
  <c r="O37" i="2" s="1"/>
  <c r="L17" i="2"/>
  <c r="M17" i="2" s="1"/>
  <c r="O17" i="2" s="1"/>
  <c r="L24" i="2"/>
  <c r="M24" i="2" s="1"/>
  <c r="O24" i="2" s="1"/>
  <c r="L40" i="2"/>
  <c r="M40" i="2" s="1"/>
  <c r="O40" i="2" s="1"/>
  <c r="L14" i="2"/>
  <c r="M14" i="2" s="1"/>
  <c r="O14" i="2" s="1"/>
  <c r="L18" i="2"/>
  <c r="M18" i="2" s="1"/>
  <c r="O18" i="2" s="1"/>
  <c r="L43" i="2"/>
  <c r="M43" i="2" s="1"/>
  <c r="O43" i="2" s="1"/>
  <c r="L2" i="2"/>
  <c r="M2" i="2" s="1"/>
  <c r="O2" i="2" s="1"/>
  <c r="L41" i="2"/>
  <c r="M41" i="2" s="1"/>
  <c r="O41" i="2" s="1"/>
  <c r="L46" i="2"/>
  <c r="M46" i="2" s="1"/>
  <c r="O46" i="2" s="1"/>
  <c r="L38" i="2"/>
  <c r="M38" i="2" s="1"/>
  <c r="O38" i="2" s="1"/>
  <c r="L39" i="2"/>
  <c r="M39" i="2" s="1"/>
  <c r="O39" i="2" s="1"/>
  <c r="L49" i="2"/>
  <c r="M49" i="2" s="1"/>
  <c r="O49" i="2" s="1"/>
  <c r="L33" i="2"/>
  <c r="M33" i="2" s="1"/>
  <c r="O33" i="2" s="1"/>
  <c r="K44" i="2"/>
  <c r="R44" i="2" s="1"/>
  <c r="S44" i="2" s="1"/>
  <c r="T44" i="2" s="1"/>
  <c r="K4" i="2"/>
  <c r="P4" i="2" s="1"/>
  <c r="K32" i="2"/>
  <c r="K48" i="2"/>
  <c r="K7" i="2"/>
  <c r="K5" i="2"/>
  <c r="K11" i="2"/>
  <c r="K10" i="2"/>
  <c r="Q10" i="2" s="1"/>
  <c r="K6" i="2"/>
  <c r="K20" i="2"/>
  <c r="P20" i="2" s="1"/>
  <c r="K13" i="2"/>
  <c r="P13" i="2" s="1"/>
  <c r="K15" i="2"/>
  <c r="K47" i="2"/>
  <c r="K16" i="2"/>
  <c r="K29" i="2"/>
  <c r="K21" i="2"/>
  <c r="R21" i="2" s="1"/>
  <c r="S21" i="2" s="1"/>
  <c r="T21" i="2" s="1"/>
  <c r="K19" i="2"/>
  <c r="R19" i="2" s="1"/>
  <c r="S19" i="2" s="1"/>
  <c r="T19" i="2" s="1"/>
  <c r="K12" i="2"/>
  <c r="P12" i="2" s="1"/>
  <c r="K35" i="2"/>
  <c r="P35" i="2" s="1"/>
  <c r="K22" i="2"/>
  <c r="Q22" i="2" s="1"/>
  <c r="K27" i="2"/>
  <c r="K9" i="2"/>
  <c r="P9" i="2" s="1"/>
  <c r="K25" i="2"/>
  <c r="K45" i="2"/>
  <c r="K30" i="2"/>
  <c r="R30" i="2" s="1"/>
  <c r="S30" i="2" s="1"/>
  <c r="T30" i="2" s="1"/>
  <c r="K28" i="2"/>
  <c r="K23" i="2"/>
  <c r="K36" i="2"/>
  <c r="R36" i="2" s="1"/>
  <c r="S36" i="2" s="1"/>
  <c r="T36" i="2" s="1"/>
  <c r="K31" i="2"/>
  <c r="Q31" i="2" s="1"/>
  <c r="K26" i="2"/>
  <c r="P26" i="2" s="1"/>
  <c r="K8" i="2"/>
  <c r="K34" i="2"/>
  <c r="K42" i="2"/>
  <c r="R42" i="2" s="1"/>
  <c r="S42" i="2" s="1"/>
  <c r="T42" i="2" s="1"/>
  <c r="K3" i="2"/>
  <c r="P3" i="2" s="1"/>
  <c r="K37" i="2"/>
  <c r="P37" i="2" s="1"/>
  <c r="K17" i="2"/>
  <c r="R17" i="2" s="1"/>
  <c r="S17" i="2" s="1"/>
  <c r="T17" i="2" s="1"/>
  <c r="K24" i="2"/>
  <c r="P24" i="2" s="1"/>
  <c r="K40" i="2"/>
  <c r="K14" i="2"/>
  <c r="R14" i="2" s="1"/>
  <c r="S14" i="2" s="1"/>
  <c r="T14" i="2" s="1"/>
  <c r="K18" i="2"/>
  <c r="K43" i="2"/>
  <c r="R43" i="2" s="1"/>
  <c r="S43" i="2" s="1"/>
  <c r="T43" i="2" s="1"/>
  <c r="K2" i="2"/>
  <c r="K41" i="2"/>
  <c r="K46" i="2"/>
  <c r="Q46" i="2" s="1"/>
  <c r="K38" i="2"/>
  <c r="K39" i="2"/>
  <c r="K49" i="2"/>
  <c r="R49" i="2" s="1"/>
  <c r="S49" i="2" s="1"/>
  <c r="T49" i="2" s="1"/>
  <c r="X49" i="2" s="1"/>
  <c r="R15" i="2" l="1"/>
  <c r="S15" i="2" s="1"/>
  <c r="T15" i="2" s="1"/>
  <c r="P47" i="2"/>
  <c r="W2" i="2" a="1"/>
  <c r="W2" i="2" s="1"/>
  <c r="Y49" i="2"/>
  <c r="X43" i="2"/>
  <c r="X19" i="2"/>
  <c r="R6" i="2"/>
  <c r="S6" i="2" s="1"/>
  <c r="T6" i="2" s="1"/>
  <c r="P2" i="2"/>
  <c r="P39" i="2"/>
  <c r="V2" i="2" a="1"/>
  <c r="V2" i="2" s="1"/>
  <c r="R18" i="2"/>
  <c r="S18" i="2" s="1"/>
  <c r="T18" i="2" s="1"/>
  <c r="P25" i="2"/>
  <c r="R8" i="2"/>
  <c r="S8" i="2" s="1"/>
  <c r="T8" i="2" s="1"/>
  <c r="P23" i="2"/>
  <c r="P27" i="2"/>
  <c r="P34" i="2"/>
  <c r="P29" i="2"/>
  <c r="P40" i="2"/>
  <c r="P41" i="2"/>
  <c r="P16" i="2"/>
  <c r="P5" i="2"/>
  <c r="R45" i="2"/>
  <c r="S45" i="2" s="1"/>
  <c r="T45" i="2" s="1"/>
  <c r="P11" i="2"/>
  <c r="R33" i="2"/>
  <c r="S33" i="2" s="1"/>
  <c r="T33" i="2" s="1"/>
  <c r="P32" i="2"/>
  <c r="P38" i="2"/>
  <c r="P28" i="2"/>
  <c r="P49" i="2"/>
  <c r="P14" i="2"/>
  <c r="P8" i="2"/>
  <c r="R7" i="2"/>
  <c r="S7" i="2" s="1"/>
  <c r="T7" i="2" s="1"/>
  <c r="P43" i="2"/>
  <c r="P42" i="2"/>
  <c r="P30" i="2"/>
  <c r="P19" i="2"/>
  <c r="P6" i="2"/>
  <c r="P44" i="2"/>
  <c r="P48" i="2"/>
  <c r="P33" i="2"/>
  <c r="Q18" i="2"/>
  <c r="Q34" i="2"/>
  <c r="Q21" i="2"/>
  <c r="R34" i="2"/>
  <c r="S34" i="2" s="1"/>
  <c r="T34" i="2" s="1"/>
  <c r="R10" i="2"/>
  <c r="S10" i="2" s="1"/>
  <c r="T10" i="2" s="1"/>
  <c r="Q33" i="2"/>
  <c r="P18" i="2"/>
  <c r="P45" i="2"/>
  <c r="P21" i="2"/>
  <c r="P10" i="2"/>
  <c r="Q49" i="2"/>
  <c r="Q14" i="2"/>
  <c r="Q8" i="2"/>
  <c r="Q25" i="2"/>
  <c r="Q29" i="2"/>
  <c r="Q11" i="2"/>
  <c r="R25" i="2"/>
  <c r="S25" i="2" s="1"/>
  <c r="T25" i="2" s="1"/>
  <c r="R29" i="2"/>
  <c r="S29" i="2" s="1"/>
  <c r="T29" i="2" s="1"/>
  <c r="R11" i="2"/>
  <c r="S11" i="2" s="1"/>
  <c r="T11" i="2" s="1"/>
  <c r="Q45" i="2"/>
  <c r="Q39" i="2"/>
  <c r="Q40" i="2"/>
  <c r="Q26" i="2"/>
  <c r="Q9" i="2"/>
  <c r="Q16" i="2"/>
  <c r="Q5" i="2"/>
  <c r="R39" i="2"/>
  <c r="S39" i="2" s="1"/>
  <c r="T39" i="2" s="1"/>
  <c r="R40" i="2"/>
  <c r="S40" i="2" s="1"/>
  <c r="T40" i="2" s="1"/>
  <c r="R26" i="2"/>
  <c r="S26" i="2" s="1"/>
  <c r="T26" i="2" s="1"/>
  <c r="R9" i="2"/>
  <c r="S9" i="2" s="1"/>
  <c r="T9" i="2" s="1"/>
  <c r="R16" i="2"/>
  <c r="S16" i="2" s="1"/>
  <c r="T16" i="2" s="1"/>
  <c r="R5" i="2"/>
  <c r="S5" i="2" s="1"/>
  <c r="T5" i="2" s="1"/>
  <c r="Q47" i="2"/>
  <c r="R31" i="2"/>
  <c r="S31" i="2" s="1"/>
  <c r="T31" i="2" s="1"/>
  <c r="R27" i="2"/>
  <c r="S27" i="2" s="1"/>
  <c r="T27" i="2" s="1"/>
  <c r="R24" i="2"/>
  <c r="S24" i="2" s="1"/>
  <c r="T24" i="2" s="1"/>
  <c r="Q48" i="2"/>
  <c r="Q24" i="2"/>
  <c r="Q7" i="2"/>
  <c r="P7" i="2"/>
  <c r="Q36" i="2"/>
  <c r="R46" i="2"/>
  <c r="S46" i="2" s="1"/>
  <c r="T46" i="2" s="1"/>
  <c r="R22" i="2"/>
  <c r="S22" i="2" s="1"/>
  <c r="T22" i="2" s="1"/>
  <c r="R48" i="2"/>
  <c r="S48" i="2" s="1"/>
  <c r="T48" i="2" s="1"/>
  <c r="P46" i="2"/>
  <c r="P17" i="2"/>
  <c r="P36" i="2"/>
  <c r="P22" i="2"/>
  <c r="P15" i="2"/>
  <c r="Q41" i="2"/>
  <c r="Q37" i="2"/>
  <c r="Q23" i="2"/>
  <c r="Q35" i="2"/>
  <c r="Q13" i="2"/>
  <c r="Q32" i="2"/>
  <c r="R41" i="2"/>
  <c r="S41" i="2" s="1"/>
  <c r="T41" i="2" s="1"/>
  <c r="R37" i="2"/>
  <c r="S37" i="2" s="1"/>
  <c r="T37" i="2" s="1"/>
  <c r="R23" i="2"/>
  <c r="S23" i="2" s="1"/>
  <c r="T23" i="2" s="1"/>
  <c r="R35" i="2"/>
  <c r="S35" i="2" s="1"/>
  <c r="T35" i="2" s="1"/>
  <c r="R13" i="2"/>
  <c r="S13" i="2" s="1"/>
  <c r="T13" i="2" s="1"/>
  <c r="R32" i="2"/>
  <c r="S32" i="2" s="1"/>
  <c r="T32" i="2" s="1"/>
  <c r="Q38" i="2"/>
  <c r="Q27" i="2"/>
  <c r="R38" i="2"/>
  <c r="S38" i="2" s="1"/>
  <c r="T38" i="2" s="1"/>
  <c r="R47" i="2"/>
  <c r="S47" i="2" s="1"/>
  <c r="T47" i="2" s="1"/>
  <c r="P31" i="2"/>
  <c r="Q17" i="2"/>
  <c r="Q15" i="2"/>
  <c r="Q2" i="2"/>
  <c r="Q3" i="2"/>
  <c r="Q28" i="2"/>
  <c r="Q12" i="2"/>
  <c r="Q20" i="2"/>
  <c r="Q4" i="2"/>
  <c r="R2" i="2"/>
  <c r="S2" i="2" s="1"/>
  <c r="T2" i="2" s="1"/>
  <c r="R3" i="2"/>
  <c r="S3" i="2" s="1"/>
  <c r="T3" i="2" s="1"/>
  <c r="R28" i="2"/>
  <c r="S28" i="2" s="1"/>
  <c r="T28" i="2" s="1"/>
  <c r="R12" i="2"/>
  <c r="S12" i="2" s="1"/>
  <c r="T12" i="2" s="1"/>
  <c r="R20" i="2"/>
  <c r="S20" i="2" s="1"/>
  <c r="T20" i="2" s="1"/>
  <c r="R4" i="2"/>
  <c r="S4" i="2" s="1"/>
  <c r="T4" i="2" s="1"/>
  <c r="Q43" i="2"/>
  <c r="Q42" i="2"/>
  <c r="Q30" i="2"/>
  <c r="Q19" i="2"/>
  <c r="Q6" i="2"/>
  <c r="Q44" i="2"/>
  <c r="X36" i="2" l="1"/>
  <c r="X39" i="2"/>
  <c r="X15" i="2"/>
  <c r="Y15" i="2" s="1"/>
  <c r="X2" i="2"/>
  <c r="Y2" i="2" s="1"/>
  <c r="X35" i="2"/>
  <c r="Y35" i="2" s="1"/>
  <c r="X18" i="2"/>
  <c r="Y18" i="2" s="1"/>
  <c r="X47" i="2"/>
  <c r="Y47" i="2" s="1"/>
  <c r="X11" i="2"/>
  <c r="Y11" i="2" s="1"/>
  <c r="X38" i="2"/>
  <c r="X42" i="2"/>
  <c r="X29" i="2"/>
  <c r="Y29" i="2" s="1"/>
  <c r="X17" i="2"/>
  <c r="X27" i="2"/>
  <c r="Y27" i="2" s="1"/>
  <c r="X45" i="2"/>
  <c r="Y45" i="2" s="1"/>
  <c r="X8" i="2"/>
  <c r="Y8" i="2" s="1"/>
  <c r="X12" i="2"/>
  <c r="Y12" i="2" s="1"/>
  <c r="X26" i="2"/>
  <c r="X32" i="2"/>
  <c r="X6" i="2"/>
  <c r="Y6" i="2" s="1"/>
  <c r="X20" i="2"/>
  <c r="Y20" i="2" s="1"/>
  <c r="X24" i="2"/>
  <c r="Y24" i="2" s="1"/>
  <c r="X33" i="2"/>
  <c r="Y33" i="2" s="1"/>
  <c r="X41" i="2"/>
  <c r="Y41" i="2" s="1"/>
  <c r="X14" i="2"/>
  <c r="Y14" i="2" s="1"/>
  <c r="X5" i="2"/>
  <c r="X44" i="2"/>
  <c r="X21" i="2"/>
  <c r="Y21" i="2" s="1"/>
  <c r="X23" i="2"/>
  <c r="Y23" i="2" s="1"/>
  <c r="X48" i="2"/>
  <c r="Y48" i="2" s="1"/>
  <c r="X9" i="2"/>
  <c r="Y9" i="2" s="1"/>
  <c r="X3" i="2"/>
  <c r="Y3" i="2" s="1"/>
  <c r="X30" i="2"/>
  <c r="Y30" i="2" s="1"/>
  <c r="X22" i="2"/>
  <c r="X37" i="2"/>
  <c r="X7" i="2"/>
  <c r="Y7" i="2" s="1"/>
  <c r="X46" i="2"/>
  <c r="Y46" i="2" s="1"/>
  <c r="X25" i="2"/>
  <c r="Y25" i="2" s="1"/>
  <c r="X4" i="2"/>
  <c r="Y4" i="2" s="1"/>
  <c r="Y43" i="2"/>
  <c r="X31" i="2"/>
  <c r="Y31" i="2" s="1"/>
  <c r="Y38" i="2"/>
  <c r="X16" i="2"/>
  <c r="Y16" i="2" s="1"/>
  <c r="Y42" i="2"/>
  <c r="X28" i="2"/>
  <c r="Y28" i="2" s="1"/>
  <c r="Y36" i="2"/>
  <c r="X10" i="2"/>
  <c r="Y10" i="2" s="1"/>
  <c r="Y39" i="2"/>
  <c r="Y37" i="2"/>
  <c r="X13" i="2"/>
  <c r="Y13" i="2" s="1"/>
  <c r="X40" i="2"/>
  <c r="Y40" i="2" s="1"/>
  <c r="Y44" i="2"/>
  <c r="X34" i="2"/>
  <c r="Y34" i="2" s="1"/>
  <c r="Y32" i="2"/>
  <c r="Y17" i="2"/>
  <c r="Y26" i="2"/>
  <c r="Y19" i="2"/>
  <c r="Y22" i="2"/>
  <c r="Y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<sst xmlns="http://schemas.openxmlformats.org/spreadsheetml/2006/main" count="333" uniqueCount="42">
  <si>
    <t>Campaign_Name</t>
  </si>
  <si>
    <t>Market</t>
  </si>
  <si>
    <t>Channel</t>
  </si>
  <si>
    <t>Control_Responses</t>
  </si>
  <si>
    <t>Control_Consideration</t>
  </si>
  <si>
    <t>Exposed_Responses</t>
  </si>
  <si>
    <t>Exposed_Consideration</t>
  </si>
  <si>
    <t>Control_Rate</t>
  </si>
  <si>
    <t>Exposed_Rate</t>
  </si>
  <si>
    <t>Relative_Lift</t>
  </si>
  <si>
    <t>BackToSchool_23</t>
  </si>
  <si>
    <t>UK</t>
  </si>
  <si>
    <t>YouTube</t>
  </si>
  <si>
    <t>Social</t>
  </si>
  <si>
    <t>Display</t>
  </si>
  <si>
    <t>DE</t>
  </si>
  <si>
    <t>SA</t>
  </si>
  <si>
    <t>EG</t>
  </si>
  <si>
    <t>ExamPrep_23</t>
  </si>
  <si>
    <t>NewYear_24</t>
  </si>
  <si>
    <t>BackToSchool_24</t>
  </si>
  <si>
    <t>Absolute_Lift</t>
  </si>
  <si>
    <t>Pooled Proportion (P)</t>
  </si>
  <si>
    <t>Relative_Lift (%)</t>
  </si>
  <si>
    <t>Standard Error (SE)</t>
  </si>
  <si>
    <t>Standard Z (95% boundary)</t>
  </si>
  <si>
    <t>Margin of Error</t>
  </si>
  <si>
    <t>Lower CI</t>
  </si>
  <si>
    <t>Upper CI</t>
  </si>
  <si>
    <t>Z-Score (Z)</t>
  </si>
  <si>
    <t>P-value</t>
  </si>
  <si>
    <t>Significance</t>
  </si>
  <si>
    <t>Campaign_ID</t>
  </si>
  <si>
    <t>Historic_Campaign_Spend_USD</t>
  </si>
  <si>
    <t>Historic_Reach</t>
  </si>
  <si>
    <t>Volume_of_Lifted_Users</t>
  </si>
  <si>
    <t>Cost_Per_Lifted_user (CPL)</t>
  </si>
  <si>
    <t>Row Labels</t>
  </si>
  <si>
    <t>Sum of Historic_Campaign_Spend_USD</t>
  </si>
  <si>
    <t>Sum of Volume_of_Lifted_Users</t>
  </si>
  <si>
    <t>Significant</t>
  </si>
  <si>
    <t>Average of Cost_Per_Lifted_user (CPL)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</si>
</sst>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_);_(* \(#,##0\);_(* &quot;-&quot;??_);_(@_)"/>
    <numFmt numFmtId="166" formatCode="_([$$-409]* #,##0.00_);_([$$-409]* \(#,##0.00\);_([$$-409]* &quot;-&quot;??_);_(@_)"/>
    <numFmt numFmtId="167" formatCode="_([$$-409]* #,##0_);_([$$-409]* \(#,##0\);_([$$-409]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0" applyNumberFormat="1" applyAlignment="1">
      <alignment horizontal="right"/>
    </xf>
    <xf numFmtId="165" fontId="0" fillId="0" borderId="0" xfId="1" applyNumberFormat="1" applyFont="1"/>
    <xf numFmtId="2" fontId="0" fillId="0" borderId="0" xfId="2" applyNumberFormat="1" applyFont="1"/>
    <xf numFmtId="166" fontId="0" fillId="0" borderId="0" xfId="0" applyNumberFormat="1" applyAlignment="1">
      <alignment horizontal="right"/>
    </xf>
    <xf numFmtId="166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43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 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9"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66" formatCode="_([$$-409]* #,##0.00_);_([$$-409]* \(#,##0.00\);_([$$-409]* &quot;-&quot;??_);_(@_)"/>
    </dxf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66" formatCode="_([$$-409]* #,##0.00_);_([$$-409]* \(#,##0.00\);_([$$-409]* &quot;-&quot;??_);_(@_)"/>
    </dxf>
    <dxf>
      <numFmt numFmtId="13" formatCode="0%"/>
    </dxf>
    <dxf>
      <numFmt numFmtId="166" formatCode="_([$$-409]* #,##0.00_);_([$$-409]* \(#,##0.00\);_([$$-409]* &quot;-&quot;??_);_(@_)"/>
    </dxf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3" formatCode="0%"/>
    </dxf>
    <dxf>
      <numFmt numFmtId="13" formatCode="0%"/>
    </dxf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3" formatCode="0%"/>
    </dxf>
    <dxf>
      <numFmt numFmtId="166" formatCode="_([$$-409]* #,##0.00_);_([$$-409]* \(#,##0.00\);_([$$-409]* &quot;-&quot;??_);_(@_)"/>
    </dxf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66" formatCode="_([$$-409]* #,##0.00_);_([$$-409]* \(#,##0.00\);_([$$-409]* &quot;-&quot;??_);_(@_)"/>
    </dxf>
    <dxf>
      <numFmt numFmtId="167" formatCode="_([$$-409]* #,##0_);_([$$-409]* \(#,##0\);_([$$-409]* &quot;-&quot;??_);_(@_)"/>
    </dxf>
    <dxf>
      <numFmt numFmtId="35" formatCode="_(* #,##0.00_);_(* \(#,##0.00\);_(* &quot;-&quot;??_);_(@_)"/>
    </dxf>
    <dxf>
      <numFmt numFmtId="166" formatCode="_([$$-409]* #,##0.00_);_([$$-409]* \(#,##0.00\);_([$$-409]* &quot;-&quot;??_);_(@_)"/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5" formatCode="_(* #,##0.00_);_(* \(#,##0.00\);_(* &quot;-&quot;??_);_(@_)"/>
    </dxf>
    <dxf>
      <numFmt numFmtId="167" formatCode="_([$$-409]* #,##0_);_([$$-409]* \(#,##0\);_([$$-409]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Campaign Efficiency (Cost vs. Volume)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'[2]Strategic Timing'!$A$2</c:f>
              <c:strCache>
                <c:ptCount val="1"/>
                <c:pt idx="0">
                  <c:v>ExamPrep_23</c:v>
                </c:pt>
              </c:strCache>
            </c:strRef>
          </c:tx>
          <c:marker>
            <c:symbol val="circle"/>
            <c:size val="10"/>
          </c:marker>
          <c:xVal>
            <c:numRef>
              <c:f>'[2]Strategic Timing'!$D$2</c:f>
              <c:numCache>
                <c:formatCode>0.00</c:formatCode>
                <c:ptCount val="1"/>
                <c:pt idx="0">
                  <c:v>0.34268826977186628</c:v>
                </c:pt>
              </c:numCache>
            </c:numRef>
          </c:xVal>
          <c:yVal>
            <c:numRef>
              <c:f>'[2]Strategic Timing'!$B$2</c:f>
              <c:numCache>
                <c:formatCode>_(* #,##0_);_(* \(#,##0\);_(* "-"??_);_(@_)</c:formatCode>
                <c:ptCount val="1"/>
                <c:pt idx="0">
                  <c:v>518996.46322414413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5-A94F-8A71-612C0012AB89}"/>
            </c:ext>
          </c:extLst>
        </c:ser>
        <c:ser>
          <c:idx val="1"/>
          <c:order val="1"/>
          <c:tx>
            <c:strRef>
              <c:f>'[2]Strategic Timing'!$A$3</c:f>
              <c:strCache>
                <c:ptCount val="1"/>
                <c:pt idx="0">
                  <c:v>BackToSchool_24</c:v>
                </c:pt>
              </c:strCache>
            </c:strRef>
          </c:tx>
          <c:marker>
            <c:symbol val="circle"/>
            <c:size val="10"/>
          </c:marker>
          <c:xVal>
            <c:numRef>
              <c:f>'[2]Strategic Timing'!$D$3</c:f>
              <c:numCache>
                <c:formatCode>0.00</c:formatCode>
                <c:ptCount val="1"/>
                <c:pt idx="0">
                  <c:v>0.3716599768385771</c:v>
                </c:pt>
              </c:numCache>
            </c:numRef>
          </c:xVal>
          <c:yVal>
            <c:numRef>
              <c:f>'[2]Strategic Timing'!$B$3</c:f>
              <c:numCache>
                <c:formatCode>_(* #,##0_);_(* \(#,##0\);_(* "-"??_);_(@_)</c:formatCode>
                <c:ptCount val="1"/>
                <c:pt idx="0">
                  <c:v>472956.49506093038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65-A94F-8A71-612C0012AB89}"/>
            </c:ext>
          </c:extLst>
        </c:ser>
        <c:ser>
          <c:idx val="2"/>
          <c:order val="2"/>
          <c:tx>
            <c:strRef>
              <c:f>'[2]Strategic Timing'!$A$4</c:f>
              <c:strCache>
                <c:ptCount val="1"/>
                <c:pt idx="0">
                  <c:v>NewYear_24</c:v>
                </c:pt>
              </c:strCache>
            </c:strRef>
          </c:tx>
          <c:marker>
            <c:symbol val="circle"/>
            <c:size val="10"/>
          </c:marker>
          <c:xVal>
            <c:numRef>
              <c:f>'[2]Strategic Timing'!$D$4</c:f>
              <c:numCache>
                <c:formatCode>0.00</c:formatCode>
                <c:ptCount val="1"/>
                <c:pt idx="0">
                  <c:v>0.37949856140659788</c:v>
                </c:pt>
              </c:numCache>
            </c:numRef>
          </c:xVal>
          <c:yVal>
            <c:numRef>
              <c:f>'[2]Strategic Timing'!$B$4</c:f>
              <c:numCache>
                <c:formatCode>_(* #,##0_);_(* \(#,##0\);_(* "-"??_);_(@_)</c:formatCode>
                <c:ptCount val="1"/>
                <c:pt idx="0">
                  <c:v>408955.43694490998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65-A94F-8A71-612C0012AB89}"/>
            </c:ext>
          </c:extLst>
        </c:ser>
        <c:ser>
          <c:idx val="3"/>
          <c:order val="3"/>
          <c:tx>
            <c:strRef>
              <c:f>'[2]Strategic Timing'!$A$5</c:f>
              <c:strCache>
                <c:ptCount val="1"/>
                <c:pt idx="0">
                  <c:v>BackToSchool_23</c:v>
                </c:pt>
              </c:strCache>
            </c:strRef>
          </c:tx>
          <c:marker>
            <c:symbol val="circle"/>
            <c:size val="10"/>
          </c:marker>
          <c:xVal>
            <c:numRef>
              <c:f>'[2]Strategic Timing'!$D$5</c:f>
              <c:numCache>
                <c:formatCode>0.00</c:formatCode>
                <c:ptCount val="1"/>
                <c:pt idx="0">
                  <c:v>0.44785209523470809</c:v>
                </c:pt>
              </c:numCache>
            </c:numRef>
          </c:xVal>
          <c:yVal>
            <c:numRef>
              <c:f>'[2]Strategic Timing'!$B$5</c:f>
              <c:numCache>
                <c:formatCode>_(* #,##0_);_(* \(#,##0\);_(* "-"??_);_(@_)</c:formatCode>
                <c:ptCount val="1"/>
                <c:pt idx="0">
                  <c:v>335749.23864361271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65-A94F-8A71-612C0012A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 Per Lifted User (CPL) $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of Lifted Users</a:t>
                </a:r>
              </a:p>
            </c:rich>
          </c:tx>
          <c:overlay val="0"/>
        </c:title>
        <c:numFmt formatCode="_(* #,##0_);_(* \(#,##0\);_(* &quot;-&quot;??_);_(@_)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12700</xdr:colOff>
      <xdr:row>8</xdr:row>
      <xdr:rowOff>25400</xdr:rowOff>
    </xdr:from>
    <xdr:to>
      <xdr:col>29</xdr:col>
      <xdr:colOff>596900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BCDFB0-9612-CE42-8722-798A9B7DC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ukitlau/Desktop/Google-step-up-challenge/Historic%20Campaign%20Data%20-%20Sheet1.xlsx" TargetMode="External"/><Relationship Id="rId1" Type="http://schemas.openxmlformats.org/officeDocument/2006/relationships/externalLinkPath" Target="Historic%20Campaign%20Data%20-%20Sheet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iukitlau/Desktop/Google-step-up-challenge/Campaign_Insights_Visualization.xlsx" TargetMode="External"/><Relationship Id="rId1" Type="http://schemas.openxmlformats.org/officeDocument/2006/relationships/externalLinkPath" Target="Campaign_Insights_Visualiz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 Campaign Data_Original"/>
      <sheetName val="Historic Campaign Data_Result"/>
    </sheetNames>
    <sheetDataSet>
      <sheetData sheetId="0"/>
      <sheetData sheetId="1">
        <row r="2">
          <cell r="A2" t="str">
            <v>Always_OnUKYouTube</v>
          </cell>
          <cell r="B2">
            <v>44928</v>
          </cell>
          <cell r="C2">
            <v>44928</v>
          </cell>
          <cell r="D2" t="str">
            <v>Always_On</v>
          </cell>
          <cell r="E2" t="str">
            <v>UK</v>
          </cell>
          <cell r="F2" t="str">
            <v>YouTube</v>
          </cell>
          <cell r="G2">
            <v>6212</v>
          </cell>
          <cell r="H2">
            <v>331780</v>
          </cell>
          <cell r="I2">
            <v>111134</v>
          </cell>
          <cell r="J2">
            <v>214</v>
          </cell>
        </row>
        <row r="3">
          <cell r="A3" t="str">
            <v>Always_OnUKSocial</v>
          </cell>
          <cell r="B3">
            <v>44928</v>
          </cell>
          <cell r="C3">
            <v>44928</v>
          </cell>
          <cell r="D3" t="str">
            <v>Always_On</v>
          </cell>
          <cell r="E3" t="str">
            <v>UK</v>
          </cell>
          <cell r="F3" t="str">
            <v>Social</v>
          </cell>
          <cell r="G3">
            <v>4262</v>
          </cell>
          <cell r="H3">
            <v>318639</v>
          </cell>
          <cell r="I3">
            <v>154596</v>
          </cell>
          <cell r="J3">
            <v>137</v>
          </cell>
        </row>
        <row r="4">
          <cell r="A4" t="str">
            <v>Always_OnUKDisplay</v>
          </cell>
          <cell r="B4">
            <v>44928</v>
          </cell>
          <cell r="C4">
            <v>44928</v>
          </cell>
          <cell r="D4" t="str">
            <v>Always_On</v>
          </cell>
          <cell r="E4" t="str">
            <v>UK</v>
          </cell>
          <cell r="F4" t="str">
            <v>Display</v>
          </cell>
          <cell r="G4">
            <v>2009</v>
          </cell>
          <cell r="H4">
            <v>515503</v>
          </cell>
          <cell r="I4">
            <v>101883</v>
          </cell>
          <cell r="J4">
            <v>18</v>
          </cell>
        </row>
        <row r="5">
          <cell r="A5" t="str">
            <v>Always_OnUKSearch</v>
          </cell>
          <cell r="B5">
            <v>44928</v>
          </cell>
          <cell r="C5">
            <v>44928</v>
          </cell>
          <cell r="D5" t="str">
            <v>Always_On</v>
          </cell>
          <cell r="E5" t="str">
            <v>UK</v>
          </cell>
          <cell r="F5" t="str">
            <v>Search</v>
          </cell>
          <cell r="G5">
            <v>5513</v>
          </cell>
          <cell r="H5">
            <v>67707</v>
          </cell>
          <cell r="I5">
            <v>61330</v>
          </cell>
          <cell r="J5">
            <v>466</v>
          </cell>
        </row>
        <row r="6">
          <cell r="A6" t="str">
            <v>Always_OnDEYouTube</v>
          </cell>
          <cell r="B6">
            <v>44928</v>
          </cell>
          <cell r="C6">
            <v>44928</v>
          </cell>
          <cell r="D6" t="str">
            <v>Always_On</v>
          </cell>
          <cell r="E6" t="str">
            <v>DE</v>
          </cell>
          <cell r="F6" t="str">
            <v>YouTube</v>
          </cell>
          <cell r="G6">
            <v>5664</v>
          </cell>
          <cell r="H6">
            <v>426034</v>
          </cell>
          <cell r="I6">
            <v>190810</v>
          </cell>
          <cell r="J6">
            <v>173</v>
          </cell>
        </row>
        <row r="7">
          <cell r="A7" t="str">
            <v>Always_OnDESocial</v>
          </cell>
          <cell r="B7">
            <v>44928</v>
          </cell>
          <cell r="C7">
            <v>44928</v>
          </cell>
          <cell r="D7" t="str">
            <v>Always_On</v>
          </cell>
          <cell r="E7" t="str">
            <v>DE</v>
          </cell>
          <cell r="F7" t="str">
            <v>Social</v>
          </cell>
          <cell r="G7">
            <v>7944</v>
          </cell>
          <cell r="H7">
            <v>480628</v>
          </cell>
          <cell r="I7">
            <v>224773</v>
          </cell>
          <cell r="J7">
            <v>282</v>
          </cell>
        </row>
        <row r="8">
          <cell r="A8" t="str">
            <v>Always_OnDEDisplay</v>
          </cell>
          <cell r="B8">
            <v>44928</v>
          </cell>
          <cell r="C8">
            <v>44928</v>
          </cell>
          <cell r="D8" t="str">
            <v>Always_On</v>
          </cell>
          <cell r="E8" t="str">
            <v>DE</v>
          </cell>
          <cell r="F8" t="str">
            <v>Display</v>
          </cell>
          <cell r="G8">
            <v>2804</v>
          </cell>
          <cell r="H8">
            <v>818015</v>
          </cell>
          <cell r="I8">
            <v>203508</v>
          </cell>
          <cell r="J8">
            <v>25</v>
          </cell>
        </row>
        <row r="9">
          <cell r="A9" t="str">
            <v>Always_OnDESearch</v>
          </cell>
          <cell r="B9">
            <v>44928</v>
          </cell>
          <cell r="C9">
            <v>44928</v>
          </cell>
          <cell r="D9" t="str">
            <v>Always_On</v>
          </cell>
          <cell r="E9" t="str">
            <v>DE</v>
          </cell>
          <cell r="F9" t="str">
            <v>Search</v>
          </cell>
          <cell r="G9">
            <v>3345</v>
          </cell>
          <cell r="H9">
            <v>48268</v>
          </cell>
          <cell r="I9">
            <v>40600</v>
          </cell>
          <cell r="J9">
            <v>305</v>
          </cell>
        </row>
        <row r="10">
          <cell r="A10" t="str">
            <v>Always_OnSAYouTube</v>
          </cell>
          <cell r="B10">
            <v>44928</v>
          </cell>
          <cell r="C10">
            <v>44928</v>
          </cell>
          <cell r="D10" t="str">
            <v>Always_On</v>
          </cell>
          <cell r="E10" t="str">
            <v>SA</v>
          </cell>
          <cell r="F10" t="str">
            <v>YouTube</v>
          </cell>
          <cell r="G10">
            <v>4915</v>
          </cell>
          <cell r="H10">
            <v>313629</v>
          </cell>
          <cell r="I10">
            <v>105299</v>
          </cell>
          <cell r="J10">
            <v>650</v>
          </cell>
        </row>
        <row r="11">
          <cell r="A11" t="str">
            <v>Always_OnSASocial</v>
          </cell>
          <cell r="B11">
            <v>44928</v>
          </cell>
          <cell r="C11">
            <v>44928</v>
          </cell>
          <cell r="D11" t="str">
            <v>Always_On</v>
          </cell>
          <cell r="E11" t="str">
            <v>SA</v>
          </cell>
          <cell r="F11" t="str">
            <v>Social</v>
          </cell>
          <cell r="G11">
            <v>3534</v>
          </cell>
          <cell r="H11">
            <v>253551</v>
          </cell>
          <cell r="I11">
            <v>114033</v>
          </cell>
          <cell r="J11">
            <v>448</v>
          </cell>
        </row>
        <row r="12">
          <cell r="A12" t="str">
            <v>Always_OnSADisplay</v>
          </cell>
          <cell r="B12">
            <v>44928</v>
          </cell>
          <cell r="C12">
            <v>44928</v>
          </cell>
          <cell r="D12" t="str">
            <v>Always_On</v>
          </cell>
          <cell r="E12" t="str">
            <v>SA</v>
          </cell>
          <cell r="F12" t="str">
            <v>Display</v>
          </cell>
          <cell r="G12">
            <v>2218</v>
          </cell>
          <cell r="H12">
            <v>521679</v>
          </cell>
          <cell r="I12">
            <v>88150</v>
          </cell>
          <cell r="J12">
            <v>66</v>
          </cell>
        </row>
        <row r="13">
          <cell r="A13" t="str">
            <v>Always_OnSASearch</v>
          </cell>
          <cell r="B13">
            <v>44928</v>
          </cell>
          <cell r="C13">
            <v>44928</v>
          </cell>
          <cell r="D13" t="str">
            <v>Always_On</v>
          </cell>
          <cell r="E13" t="str">
            <v>SA</v>
          </cell>
          <cell r="F13" t="str">
            <v>Search</v>
          </cell>
          <cell r="G13">
            <v>3032</v>
          </cell>
          <cell r="H13">
            <v>42152</v>
          </cell>
          <cell r="I13">
            <v>36408</v>
          </cell>
          <cell r="J13">
            <v>1015</v>
          </cell>
        </row>
        <row r="14">
          <cell r="A14" t="str">
            <v>Always_OnEGYouTube</v>
          </cell>
          <cell r="B14">
            <v>44928</v>
          </cell>
          <cell r="C14">
            <v>44928</v>
          </cell>
          <cell r="D14" t="str">
            <v>Always_On</v>
          </cell>
          <cell r="E14" t="str">
            <v>EG</v>
          </cell>
          <cell r="F14" t="str">
            <v>YouTube</v>
          </cell>
          <cell r="G14">
            <v>3238</v>
          </cell>
          <cell r="H14">
            <v>265504</v>
          </cell>
          <cell r="I14">
            <v>114933</v>
          </cell>
          <cell r="J14">
            <v>442</v>
          </cell>
        </row>
        <row r="15">
          <cell r="A15" t="str">
            <v>Always_OnEGSocial</v>
          </cell>
          <cell r="B15">
            <v>44928</v>
          </cell>
          <cell r="C15">
            <v>44928</v>
          </cell>
          <cell r="D15" t="str">
            <v>Always_On</v>
          </cell>
          <cell r="E15" t="str">
            <v>EG</v>
          </cell>
          <cell r="F15" t="str">
            <v>Social</v>
          </cell>
          <cell r="G15">
            <v>4428</v>
          </cell>
          <cell r="H15">
            <v>311128</v>
          </cell>
          <cell r="I15">
            <v>139029</v>
          </cell>
          <cell r="J15">
            <v>605</v>
          </cell>
        </row>
        <row r="16">
          <cell r="A16" t="str">
            <v>Always_OnEGDisplay</v>
          </cell>
          <cell r="B16">
            <v>44928</v>
          </cell>
          <cell r="C16">
            <v>44928</v>
          </cell>
          <cell r="D16" t="str">
            <v>Always_On</v>
          </cell>
          <cell r="E16" t="str">
            <v>EG</v>
          </cell>
          <cell r="F16" t="str">
            <v>Display</v>
          </cell>
          <cell r="G16">
            <v>2484</v>
          </cell>
          <cell r="H16">
            <v>628939</v>
          </cell>
          <cell r="I16">
            <v>108959</v>
          </cell>
          <cell r="J16">
            <v>84</v>
          </cell>
        </row>
        <row r="17">
          <cell r="A17" t="str">
            <v>Always_OnEGSearch</v>
          </cell>
          <cell r="B17">
            <v>44928</v>
          </cell>
          <cell r="C17">
            <v>44928</v>
          </cell>
          <cell r="D17" t="str">
            <v>Always_On</v>
          </cell>
          <cell r="E17" t="str">
            <v>EG</v>
          </cell>
          <cell r="F17" t="str">
            <v>Search</v>
          </cell>
          <cell r="G17">
            <v>5121</v>
          </cell>
          <cell r="H17">
            <v>70700</v>
          </cell>
          <cell r="I17">
            <v>61698</v>
          </cell>
          <cell r="J17">
            <v>1587</v>
          </cell>
        </row>
        <row r="18">
          <cell r="A18" t="str">
            <v>Always_OnUKYouTube</v>
          </cell>
          <cell r="B18">
            <v>44935</v>
          </cell>
          <cell r="C18">
            <v>44935</v>
          </cell>
          <cell r="D18" t="str">
            <v>Always_On</v>
          </cell>
          <cell r="E18" t="str">
            <v>UK</v>
          </cell>
          <cell r="F18" t="str">
            <v>YouTube</v>
          </cell>
          <cell r="G18">
            <v>5838</v>
          </cell>
          <cell r="H18">
            <v>423106</v>
          </cell>
          <cell r="I18">
            <v>197773</v>
          </cell>
          <cell r="J18">
            <v>211</v>
          </cell>
        </row>
        <row r="19">
          <cell r="A19" t="str">
            <v>Always_OnUKSocial</v>
          </cell>
          <cell r="B19">
            <v>44935</v>
          </cell>
          <cell r="C19">
            <v>44935</v>
          </cell>
          <cell r="D19" t="str">
            <v>Always_On</v>
          </cell>
          <cell r="E19" t="str">
            <v>UK</v>
          </cell>
          <cell r="F19" t="str">
            <v>Social</v>
          </cell>
          <cell r="G19">
            <v>6552</v>
          </cell>
          <cell r="H19">
            <v>582303</v>
          </cell>
          <cell r="I19">
            <v>260056</v>
          </cell>
          <cell r="J19">
            <v>215</v>
          </cell>
        </row>
        <row r="20">
          <cell r="A20" t="str">
            <v>Always_OnUKDisplay</v>
          </cell>
          <cell r="B20">
            <v>44935</v>
          </cell>
          <cell r="C20">
            <v>44935</v>
          </cell>
          <cell r="D20" t="str">
            <v>Always_On</v>
          </cell>
          <cell r="E20" t="str">
            <v>UK</v>
          </cell>
          <cell r="F20" t="str">
            <v>Display</v>
          </cell>
          <cell r="G20">
            <v>3712</v>
          </cell>
          <cell r="H20">
            <v>967760</v>
          </cell>
          <cell r="I20">
            <v>191387</v>
          </cell>
          <cell r="J20">
            <v>29</v>
          </cell>
        </row>
        <row r="21">
          <cell r="A21" t="str">
            <v>Always_OnUKSearch</v>
          </cell>
          <cell r="B21">
            <v>44935</v>
          </cell>
          <cell r="C21">
            <v>44935</v>
          </cell>
          <cell r="D21" t="str">
            <v>Always_On</v>
          </cell>
          <cell r="E21" t="str">
            <v>UK</v>
          </cell>
          <cell r="F21" t="str">
            <v>Search</v>
          </cell>
          <cell r="G21">
            <v>2929</v>
          </cell>
          <cell r="H21">
            <v>32301</v>
          </cell>
          <cell r="I21">
            <v>27661</v>
          </cell>
          <cell r="J21">
            <v>222</v>
          </cell>
        </row>
        <row r="22">
          <cell r="A22" t="str">
            <v>Always_OnDEYouTube</v>
          </cell>
          <cell r="B22">
            <v>44935</v>
          </cell>
          <cell r="C22">
            <v>44935</v>
          </cell>
          <cell r="D22" t="str">
            <v>Always_On</v>
          </cell>
          <cell r="E22" t="str">
            <v>DE</v>
          </cell>
          <cell r="F22" t="str">
            <v>YouTube</v>
          </cell>
          <cell r="G22">
            <v>3838</v>
          </cell>
          <cell r="H22">
            <v>344958</v>
          </cell>
          <cell r="I22">
            <v>130512</v>
          </cell>
          <cell r="J22">
            <v>129</v>
          </cell>
        </row>
        <row r="23">
          <cell r="A23" t="str">
            <v>Always_OnDESocial</v>
          </cell>
          <cell r="B23">
            <v>44935</v>
          </cell>
          <cell r="C23">
            <v>44935</v>
          </cell>
          <cell r="D23" t="str">
            <v>Always_On</v>
          </cell>
          <cell r="E23" t="str">
            <v>DE</v>
          </cell>
          <cell r="F23" t="str">
            <v>Social</v>
          </cell>
          <cell r="G23">
            <v>3632</v>
          </cell>
          <cell r="H23">
            <v>303911</v>
          </cell>
          <cell r="I23">
            <v>102355</v>
          </cell>
          <cell r="J23">
            <v>134</v>
          </cell>
        </row>
        <row r="24">
          <cell r="A24" t="str">
            <v>Always_OnDEDisplay</v>
          </cell>
          <cell r="B24">
            <v>44935</v>
          </cell>
          <cell r="C24">
            <v>44935</v>
          </cell>
          <cell r="D24" t="str">
            <v>Always_On</v>
          </cell>
          <cell r="E24" t="str">
            <v>DE</v>
          </cell>
          <cell r="F24" t="str">
            <v>Display</v>
          </cell>
          <cell r="G24">
            <v>2099</v>
          </cell>
          <cell r="H24">
            <v>483214</v>
          </cell>
          <cell r="I24">
            <v>81189</v>
          </cell>
          <cell r="J24">
            <v>17</v>
          </cell>
        </row>
        <row r="25">
          <cell r="A25" t="str">
            <v>Always_OnDESearch</v>
          </cell>
          <cell r="B25">
            <v>44935</v>
          </cell>
          <cell r="C25">
            <v>44935</v>
          </cell>
          <cell r="D25" t="str">
            <v>Always_On</v>
          </cell>
          <cell r="E25" t="str">
            <v>DE</v>
          </cell>
          <cell r="F25" t="str">
            <v>Search</v>
          </cell>
          <cell r="G25">
            <v>3050</v>
          </cell>
          <cell r="H25">
            <v>37524</v>
          </cell>
          <cell r="I25">
            <v>32551</v>
          </cell>
          <cell r="J25">
            <v>251</v>
          </cell>
        </row>
        <row r="26">
          <cell r="A26" t="str">
            <v>Always_OnSAYouTube</v>
          </cell>
          <cell r="B26">
            <v>44935</v>
          </cell>
          <cell r="C26">
            <v>44935</v>
          </cell>
          <cell r="D26" t="str">
            <v>Always_On</v>
          </cell>
          <cell r="E26" t="str">
            <v>SA</v>
          </cell>
          <cell r="F26" t="str">
            <v>YouTube</v>
          </cell>
          <cell r="G26">
            <v>4228</v>
          </cell>
          <cell r="H26">
            <v>310607</v>
          </cell>
          <cell r="I26">
            <v>125523</v>
          </cell>
          <cell r="J26">
            <v>579</v>
          </cell>
        </row>
        <row r="27">
          <cell r="A27" t="str">
            <v>Always_OnSASocial</v>
          </cell>
          <cell r="B27">
            <v>44935</v>
          </cell>
          <cell r="C27">
            <v>44935</v>
          </cell>
          <cell r="D27" t="str">
            <v>Always_On</v>
          </cell>
          <cell r="E27" t="str">
            <v>SA</v>
          </cell>
          <cell r="F27" t="str">
            <v>Social</v>
          </cell>
          <cell r="G27">
            <v>4367</v>
          </cell>
          <cell r="H27">
            <v>229304</v>
          </cell>
          <cell r="I27">
            <v>106621</v>
          </cell>
          <cell r="J27">
            <v>590</v>
          </cell>
        </row>
        <row r="28">
          <cell r="A28" t="str">
            <v>Always_OnSADisplay</v>
          </cell>
          <cell r="B28">
            <v>44935</v>
          </cell>
          <cell r="C28">
            <v>44935</v>
          </cell>
          <cell r="D28" t="str">
            <v>Always_On</v>
          </cell>
          <cell r="E28" t="str">
            <v>SA</v>
          </cell>
          <cell r="F28" t="str">
            <v>Display</v>
          </cell>
          <cell r="G28">
            <v>2431</v>
          </cell>
          <cell r="H28">
            <v>516575</v>
          </cell>
          <cell r="I28">
            <v>120529</v>
          </cell>
          <cell r="J28">
            <v>76</v>
          </cell>
        </row>
        <row r="29">
          <cell r="A29" t="str">
            <v>Always_OnSASearch</v>
          </cell>
          <cell r="B29">
            <v>44935</v>
          </cell>
          <cell r="C29">
            <v>44935</v>
          </cell>
          <cell r="D29" t="str">
            <v>Always_On</v>
          </cell>
          <cell r="E29" t="str">
            <v>SA</v>
          </cell>
          <cell r="F29" t="str">
            <v>Search</v>
          </cell>
          <cell r="G29">
            <v>3482</v>
          </cell>
          <cell r="H29">
            <v>37848</v>
          </cell>
          <cell r="I29">
            <v>31991</v>
          </cell>
          <cell r="J29">
            <v>990</v>
          </cell>
        </row>
        <row r="30">
          <cell r="A30" t="str">
            <v>Always_OnEGYouTube</v>
          </cell>
          <cell r="B30">
            <v>44935</v>
          </cell>
          <cell r="C30">
            <v>44935</v>
          </cell>
          <cell r="D30" t="str">
            <v>Always_On</v>
          </cell>
          <cell r="E30" t="str">
            <v>EG</v>
          </cell>
          <cell r="F30" t="str">
            <v>YouTube</v>
          </cell>
          <cell r="G30">
            <v>4832</v>
          </cell>
          <cell r="H30">
            <v>248688</v>
          </cell>
          <cell r="I30">
            <v>89724</v>
          </cell>
          <cell r="J30">
            <v>657</v>
          </cell>
        </row>
        <row r="31">
          <cell r="A31" t="str">
            <v>Always_OnEGSocial</v>
          </cell>
          <cell r="B31">
            <v>44935</v>
          </cell>
          <cell r="C31">
            <v>44935</v>
          </cell>
          <cell r="D31" t="str">
            <v>Always_On</v>
          </cell>
          <cell r="E31" t="str">
            <v>EG</v>
          </cell>
          <cell r="F31" t="str">
            <v>Social</v>
          </cell>
          <cell r="G31">
            <v>4578</v>
          </cell>
          <cell r="H31">
            <v>293123</v>
          </cell>
          <cell r="I31">
            <v>121898</v>
          </cell>
          <cell r="J31">
            <v>566</v>
          </cell>
        </row>
        <row r="32">
          <cell r="A32" t="str">
            <v>Always_OnEGDisplay</v>
          </cell>
          <cell r="B32">
            <v>44935</v>
          </cell>
          <cell r="C32">
            <v>44935</v>
          </cell>
          <cell r="D32" t="str">
            <v>Always_On</v>
          </cell>
          <cell r="E32" t="str">
            <v>EG</v>
          </cell>
          <cell r="F32" t="str">
            <v>Display</v>
          </cell>
          <cell r="G32">
            <v>1807</v>
          </cell>
          <cell r="H32">
            <v>479030</v>
          </cell>
          <cell r="I32">
            <v>89580</v>
          </cell>
          <cell r="J32">
            <v>61</v>
          </cell>
        </row>
        <row r="33">
          <cell r="A33" t="str">
            <v>Always_OnEGSearch</v>
          </cell>
          <cell r="B33">
            <v>44935</v>
          </cell>
          <cell r="C33">
            <v>44935</v>
          </cell>
          <cell r="D33" t="str">
            <v>Always_On</v>
          </cell>
          <cell r="E33" t="str">
            <v>EG</v>
          </cell>
          <cell r="F33" t="str">
            <v>Search</v>
          </cell>
          <cell r="G33">
            <v>5192</v>
          </cell>
          <cell r="H33">
            <v>76080</v>
          </cell>
          <cell r="I33">
            <v>66261</v>
          </cell>
          <cell r="J33">
            <v>1675</v>
          </cell>
        </row>
        <row r="34">
          <cell r="A34" t="str">
            <v>Always_OnUKYouTube</v>
          </cell>
          <cell r="B34">
            <v>44942</v>
          </cell>
          <cell r="C34">
            <v>44942</v>
          </cell>
          <cell r="D34" t="str">
            <v>Always_On</v>
          </cell>
          <cell r="E34" t="str">
            <v>UK</v>
          </cell>
          <cell r="F34" t="str">
            <v>YouTube</v>
          </cell>
          <cell r="G34">
            <v>3670</v>
          </cell>
          <cell r="H34">
            <v>238624</v>
          </cell>
          <cell r="I34">
            <v>83411</v>
          </cell>
          <cell r="J34">
            <v>134</v>
          </cell>
        </row>
        <row r="35">
          <cell r="A35" t="str">
            <v>Always_OnUKSocial</v>
          </cell>
          <cell r="B35">
            <v>44942</v>
          </cell>
          <cell r="C35">
            <v>44942</v>
          </cell>
          <cell r="D35" t="str">
            <v>Always_On</v>
          </cell>
          <cell r="E35" t="str">
            <v>UK</v>
          </cell>
          <cell r="F35" t="str">
            <v>Social</v>
          </cell>
          <cell r="G35">
            <v>6029</v>
          </cell>
          <cell r="H35">
            <v>463694</v>
          </cell>
          <cell r="I35">
            <v>227409</v>
          </cell>
          <cell r="J35">
            <v>204</v>
          </cell>
        </row>
        <row r="36">
          <cell r="A36" t="str">
            <v>Always_OnUKDisplay</v>
          </cell>
          <cell r="B36">
            <v>44942</v>
          </cell>
          <cell r="C36">
            <v>44942</v>
          </cell>
          <cell r="D36" t="str">
            <v>Always_On</v>
          </cell>
          <cell r="E36" t="str">
            <v>UK</v>
          </cell>
          <cell r="F36" t="str">
            <v>Display</v>
          </cell>
          <cell r="G36">
            <v>2641</v>
          </cell>
          <cell r="H36">
            <v>687408</v>
          </cell>
          <cell r="I36">
            <v>169469</v>
          </cell>
          <cell r="J36">
            <v>20</v>
          </cell>
        </row>
        <row r="37">
          <cell r="A37" t="str">
            <v>Always_OnUKSearch</v>
          </cell>
          <cell r="B37">
            <v>44942</v>
          </cell>
          <cell r="C37">
            <v>44942</v>
          </cell>
          <cell r="D37" t="str">
            <v>Always_On</v>
          </cell>
          <cell r="E37" t="str">
            <v>UK</v>
          </cell>
          <cell r="F37" t="str">
            <v>Search</v>
          </cell>
          <cell r="G37">
            <v>7326</v>
          </cell>
          <cell r="H37">
            <v>80293</v>
          </cell>
          <cell r="I37">
            <v>71106</v>
          </cell>
          <cell r="J37">
            <v>565</v>
          </cell>
        </row>
        <row r="38">
          <cell r="A38" t="str">
            <v>Always_OnDEYouTube</v>
          </cell>
          <cell r="B38">
            <v>44942</v>
          </cell>
          <cell r="C38">
            <v>44942</v>
          </cell>
          <cell r="D38" t="str">
            <v>Always_On</v>
          </cell>
          <cell r="E38" t="str">
            <v>DE</v>
          </cell>
          <cell r="F38" t="str">
            <v>YouTube</v>
          </cell>
          <cell r="G38">
            <v>5777</v>
          </cell>
          <cell r="H38">
            <v>417813</v>
          </cell>
          <cell r="I38">
            <v>180898</v>
          </cell>
          <cell r="J38">
            <v>176</v>
          </cell>
        </row>
        <row r="39">
          <cell r="A39" t="str">
            <v>Always_OnDESocial</v>
          </cell>
          <cell r="B39">
            <v>44942</v>
          </cell>
          <cell r="C39">
            <v>44942</v>
          </cell>
          <cell r="D39" t="str">
            <v>Always_On</v>
          </cell>
          <cell r="E39" t="str">
            <v>DE</v>
          </cell>
          <cell r="F39" t="str">
            <v>Social</v>
          </cell>
          <cell r="G39">
            <v>5182</v>
          </cell>
          <cell r="H39">
            <v>286886</v>
          </cell>
          <cell r="I39">
            <v>117530</v>
          </cell>
          <cell r="J39">
            <v>176</v>
          </cell>
        </row>
        <row r="40">
          <cell r="A40" t="str">
            <v>Always_OnDEDisplay</v>
          </cell>
          <cell r="B40">
            <v>44942</v>
          </cell>
          <cell r="C40">
            <v>44942</v>
          </cell>
          <cell r="D40" t="str">
            <v>Always_On</v>
          </cell>
          <cell r="E40" t="str">
            <v>DE</v>
          </cell>
          <cell r="F40" t="str">
            <v>Display</v>
          </cell>
          <cell r="G40">
            <v>3884</v>
          </cell>
          <cell r="H40">
            <v>807653</v>
          </cell>
          <cell r="I40">
            <v>177749</v>
          </cell>
          <cell r="J40">
            <v>34</v>
          </cell>
        </row>
        <row r="41">
          <cell r="A41" t="str">
            <v>Always_OnDESearch</v>
          </cell>
          <cell r="B41">
            <v>44942</v>
          </cell>
          <cell r="C41">
            <v>44942</v>
          </cell>
          <cell r="D41" t="str">
            <v>Always_On</v>
          </cell>
          <cell r="E41" t="str">
            <v>DE</v>
          </cell>
          <cell r="F41" t="str">
            <v>Search</v>
          </cell>
          <cell r="G41">
            <v>3840</v>
          </cell>
          <cell r="H41">
            <v>40585</v>
          </cell>
          <cell r="I41">
            <v>35234</v>
          </cell>
          <cell r="J41">
            <v>325</v>
          </cell>
        </row>
        <row r="42">
          <cell r="A42" t="str">
            <v>Always_OnSAYouTube</v>
          </cell>
          <cell r="B42">
            <v>44942</v>
          </cell>
          <cell r="C42">
            <v>44942</v>
          </cell>
          <cell r="D42" t="str">
            <v>Always_On</v>
          </cell>
          <cell r="E42" t="str">
            <v>SA</v>
          </cell>
          <cell r="F42" t="str">
            <v>YouTube</v>
          </cell>
          <cell r="G42">
            <v>2205</v>
          </cell>
          <cell r="H42">
            <v>117560</v>
          </cell>
          <cell r="I42">
            <v>43577</v>
          </cell>
          <cell r="J42">
            <v>286</v>
          </cell>
        </row>
        <row r="43">
          <cell r="A43" t="str">
            <v>Always_OnSASocial</v>
          </cell>
          <cell r="B43">
            <v>44942</v>
          </cell>
          <cell r="C43">
            <v>44942</v>
          </cell>
          <cell r="D43" t="str">
            <v>Always_On</v>
          </cell>
          <cell r="E43" t="str">
            <v>SA</v>
          </cell>
          <cell r="F43" t="str">
            <v>Social</v>
          </cell>
          <cell r="G43">
            <v>4336</v>
          </cell>
          <cell r="H43">
            <v>385886</v>
          </cell>
          <cell r="I43">
            <v>180722</v>
          </cell>
          <cell r="J43">
            <v>500</v>
          </cell>
        </row>
        <row r="44">
          <cell r="A44" t="str">
            <v>Always_OnSADisplay</v>
          </cell>
          <cell r="B44">
            <v>44942</v>
          </cell>
          <cell r="C44">
            <v>44942</v>
          </cell>
          <cell r="D44" t="str">
            <v>Always_On</v>
          </cell>
          <cell r="E44" t="str">
            <v>SA</v>
          </cell>
          <cell r="F44" t="str">
            <v>Display</v>
          </cell>
          <cell r="G44">
            <v>2055</v>
          </cell>
          <cell r="H44">
            <v>555926</v>
          </cell>
          <cell r="I44">
            <v>133792</v>
          </cell>
          <cell r="J44">
            <v>70</v>
          </cell>
        </row>
        <row r="45">
          <cell r="A45" t="str">
            <v>Always_OnSASearch</v>
          </cell>
          <cell r="B45">
            <v>44942</v>
          </cell>
          <cell r="C45">
            <v>44942</v>
          </cell>
          <cell r="D45" t="str">
            <v>Always_On</v>
          </cell>
          <cell r="E45" t="str">
            <v>SA</v>
          </cell>
          <cell r="F45" t="str">
            <v>Search</v>
          </cell>
          <cell r="G45">
            <v>3027</v>
          </cell>
          <cell r="H45">
            <v>41546</v>
          </cell>
          <cell r="I45">
            <v>35711</v>
          </cell>
          <cell r="J45">
            <v>957</v>
          </cell>
        </row>
        <row r="46">
          <cell r="A46" t="str">
            <v>Always_OnEGYouTube</v>
          </cell>
          <cell r="B46">
            <v>44942</v>
          </cell>
          <cell r="C46">
            <v>44942</v>
          </cell>
          <cell r="D46" t="str">
            <v>Always_On</v>
          </cell>
          <cell r="E46" t="str">
            <v>EG</v>
          </cell>
          <cell r="F46" t="str">
            <v>YouTube</v>
          </cell>
          <cell r="G46">
            <v>2572</v>
          </cell>
          <cell r="H46">
            <v>211099</v>
          </cell>
          <cell r="I46">
            <v>91510</v>
          </cell>
          <cell r="J46">
            <v>295</v>
          </cell>
        </row>
        <row r="47">
          <cell r="A47" t="str">
            <v>Always_OnEGSocial</v>
          </cell>
          <cell r="B47">
            <v>44942</v>
          </cell>
          <cell r="C47">
            <v>44942</v>
          </cell>
          <cell r="D47" t="str">
            <v>Always_On</v>
          </cell>
          <cell r="E47" t="str">
            <v>EG</v>
          </cell>
          <cell r="F47" t="str">
            <v>Social</v>
          </cell>
          <cell r="G47">
            <v>2094</v>
          </cell>
          <cell r="H47">
            <v>181601</v>
          </cell>
          <cell r="I47">
            <v>79883</v>
          </cell>
          <cell r="J47">
            <v>255</v>
          </cell>
        </row>
        <row r="48">
          <cell r="A48" t="str">
            <v>Always_OnEGDisplay</v>
          </cell>
          <cell r="B48">
            <v>44942</v>
          </cell>
          <cell r="C48">
            <v>44942</v>
          </cell>
          <cell r="D48" t="str">
            <v>Always_On</v>
          </cell>
          <cell r="E48" t="str">
            <v>EG</v>
          </cell>
          <cell r="F48" t="str">
            <v>Display</v>
          </cell>
          <cell r="G48">
            <v>1492</v>
          </cell>
          <cell r="H48">
            <v>445177</v>
          </cell>
          <cell r="I48">
            <v>91780</v>
          </cell>
          <cell r="J48">
            <v>47</v>
          </cell>
        </row>
        <row r="49">
          <cell r="A49" t="str">
            <v>Always_OnEGSearch</v>
          </cell>
          <cell r="B49">
            <v>44942</v>
          </cell>
          <cell r="C49">
            <v>44942</v>
          </cell>
          <cell r="D49" t="str">
            <v>Always_On</v>
          </cell>
          <cell r="E49" t="str">
            <v>EG</v>
          </cell>
          <cell r="F49" t="str">
            <v>Search</v>
          </cell>
          <cell r="G49">
            <v>4553</v>
          </cell>
          <cell r="H49">
            <v>48608</v>
          </cell>
          <cell r="I49">
            <v>40578</v>
          </cell>
          <cell r="J49">
            <v>1295</v>
          </cell>
        </row>
        <row r="50">
          <cell r="A50" t="str">
            <v>Always_OnUKYouTube</v>
          </cell>
          <cell r="B50">
            <v>44949</v>
          </cell>
          <cell r="C50">
            <v>44949</v>
          </cell>
          <cell r="D50" t="str">
            <v>Always_On</v>
          </cell>
          <cell r="E50" t="str">
            <v>UK</v>
          </cell>
          <cell r="F50" t="str">
            <v>YouTube</v>
          </cell>
          <cell r="G50">
            <v>6202</v>
          </cell>
          <cell r="H50">
            <v>519503</v>
          </cell>
          <cell r="I50">
            <v>229007</v>
          </cell>
          <cell r="J50">
            <v>211</v>
          </cell>
        </row>
        <row r="51">
          <cell r="A51" t="str">
            <v>Always_OnUKSocial</v>
          </cell>
          <cell r="B51">
            <v>44949</v>
          </cell>
          <cell r="C51">
            <v>44949</v>
          </cell>
          <cell r="D51" t="str">
            <v>Always_On</v>
          </cell>
          <cell r="E51" t="str">
            <v>UK</v>
          </cell>
          <cell r="F51" t="str">
            <v>Social</v>
          </cell>
          <cell r="G51">
            <v>3077</v>
          </cell>
          <cell r="H51">
            <v>223239</v>
          </cell>
          <cell r="I51">
            <v>79297</v>
          </cell>
          <cell r="J51">
            <v>113</v>
          </cell>
        </row>
        <row r="52">
          <cell r="A52" t="str">
            <v>Always_OnUKDisplay</v>
          </cell>
          <cell r="B52">
            <v>44949</v>
          </cell>
          <cell r="C52">
            <v>44949</v>
          </cell>
          <cell r="D52" t="str">
            <v>Always_On</v>
          </cell>
          <cell r="E52" t="str">
            <v>UK</v>
          </cell>
          <cell r="F52" t="str">
            <v>Display</v>
          </cell>
          <cell r="G52">
            <v>1774</v>
          </cell>
          <cell r="H52">
            <v>431680</v>
          </cell>
          <cell r="I52">
            <v>71990</v>
          </cell>
          <cell r="J52">
            <v>13</v>
          </cell>
        </row>
        <row r="53">
          <cell r="A53" t="str">
            <v>Always_OnUKSearch</v>
          </cell>
          <cell r="B53">
            <v>44949</v>
          </cell>
          <cell r="C53">
            <v>44949</v>
          </cell>
          <cell r="D53" t="str">
            <v>Always_On</v>
          </cell>
          <cell r="E53" t="str">
            <v>UK</v>
          </cell>
          <cell r="F53" t="str">
            <v>Search</v>
          </cell>
          <cell r="G53">
            <v>5949</v>
          </cell>
          <cell r="H53">
            <v>79639</v>
          </cell>
          <cell r="I53">
            <v>72179</v>
          </cell>
          <cell r="J53">
            <v>536</v>
          </cell>
        </row>
        <row r="54">
          <cell r="A54" t="str">
            <v>Always_OnDEYouTube</v>
          </cell>
          <cell r="B54">
            <v>44949</v>
          </cell>
          <cell r="C54">
            <v>44949</v>
          </cell>
          <cell r="D54" t="str">
            <v>Always_On</v>
          </cell>
          <cell r="E54" t="str">
            <v>DE</v>
          </cell>
          <cell r="F54" t="str">
            <v>YouTube</v>
          </cell>
          <cell r="G54">
            <v>5830</v>
          </cell>
          <cell r="H54">
            <v>346412</v>
          </cell>
          <cell r="I54">
            <v>173144</v>
          </cell>
          <cell r="J54">
            <v>194</v>
          </cell>
        </row>
        <row r="55">
          <cell r="A55" t="str">
            <v>Always_OnDESocial</v>
          </cell>
          <cell r="B55">
            <v>44949</v>
          </cell>
          <cell r="C55">
            <v>44949</v>
          </cell>
          <cell r="D55" t="str">
            <v>Always_On</v>
          </cell>
          <cell r="E55" t="str">
            <v>DE</v>
          </cell>
          <cell r="F55" t="str">
            <v>Social</v>
          </cell>
          <cell r="G55">
            <v>4056</v>
          </cell>
          <cell r="H55">
            <v>235140</v>
          </cell>
          <cell r="I55">
            <v>81351</v>
          </cell>
          <cell r="J55">
            <v>135</v>
          </cell>
        </row>
        <row r="56">
          <cell r="A56" t="str">
            <v>Always_OnDEDisplay</v>
          </cell>
          <cell r="B56">
            <v>44949</v>
          </cell>
          <cell r="C56">
            <v>44949</v>
          </cell>
          <cell r="D56" t="str">
            <v>Always_On</v>
          </cell>
          <cell r="E56" t="str">
            <v>DE</v>
          </cell>
          <cell r="F56" t="str">
            <v>Display</v>
          </cell>
          <cell r="G56">
            <v>2452</v>
          </cell>
          <cell r="H56">
            <v>616095</v>
          </cell>
          <cell r="I56">
            <v>104271</v>
          </cell>
          <cell r="J56">
            <v>21</v>
          </cell>
        </row>
        <row r="57">
          <cell r="A57" t="str">
            <v>Always_OnDESearch</v>
          </cell>
          <cell r="B57">
            <v>44949</v>
          </cell>
          <cell r="C57">
            <v>44949</v>
          </cell>
          <cell r="D57" t="str">
            <v>Always_On</v>
          </cell>
          <cell r="E57" t="str">
            <v>DE</v>
          </cell>
          <cell r="F57" t="str">
            <v>Search</v>
          </cell>
          <cell r="G57">
            <v>7864</v>
          </cell>
          <cell r="H57">
            <v>111729</v>
          </cell>
          <cell r="I57">
            <v>100092</v>
          </cell>
          <cell r="J57">
            <v>672</v>
          </cell>
        </row>
        <row r="58">
          <cell r="A58" t="str">
            <v>Always_OnSAYouTube</v>
          </cell>
          <cell r="B58">
            <v>44949</v>
          </cell>
          <cell r="C58">
            <v>44949</v>
          </cell>
          <cell r="D58" t="str">
            <v>Always_On</v>
          </cell>
          <cell r="E58" t="str">
            <v>SA</v>
          </cell>
          <cell r="F58" t="str">
            <v>YouTube</v>
          </cell>
          <cell r="G58">
            <v>5151</v>
          </cell>
          <cell r="H58">
            <v>334995</v>
          </cell>
          <cell r="I58">
            <v>139364</v>
          </cell>
          <cell r="J58">
            <v>696</v>
          </cell>
        </row>
        <row r="59">
          <cell r="A59" t="str">
            <v>Always_OnSASocial</v>
          </cell>
          <cell r="B59">
            <v>44949</v>
          </cell>
          <cell r="C59">
            <v>44949</v>
          </cell>
          <cell r="D59" t="str">
            <v>Always_On</v>
          </cell>
          <cell r="E59" t="str">
            <v>SA</v>
          </cell>
          <cell r="F59" t="str">
            <v>Social</v>
          </cell>
          <cell r="G59">
            <v>2695</v>
          </cell>
          <cell r="H59">
            <v>206858</v>
          </cell>
          <cell r="I59">
            <v>75163</v>
          </cell>
          <cell r="J59">
            <v>318</v>
          </cell>
        </row>
        <row r="60">
          <cell r="A60" t="str">
            <v>Always_OnSADisplay</v>
          </cell>
          <cell r="B60">
            <v>44949</v>
          </cell>
          <cell r="C60">
            <v>44949</v>
          </cell>
          <cell r="D60" t="str">
            <v>Always_On</v>
          </cell>
          <cell r="E60" t="str">
            <v>SA</v>
          </cell>
          <cell r="F60" t="str">
            <v>Display</v>
          </cell>
          <cell r="G60">
            <v>1448</v>
          </cell>
          <cell r="H60">
            <v>392128</v>
          </cell>
          <cell r="I60">
            <v>85609</v>
          </cell>
          <cell r="J60">
            <v>49</v>
          </cell>
        </row>
        <row r="61">
          <cell r="A61" t="str">
            <v>Always_OnSASearch</v>
          </cell>
          <cell r="B61">
            <v>44949</v>
          </cell>
          <cell r="C61">
            <v>44949</v>
          </cell>
          <cell r="D61" t="str">
            <v>Always_On</v>
          </cell>
          <cell r="E61" t="str">
            <v>SA</v>
          </cell>
          <cell r="F61" t="str">
            <v>Search</v>
          </cell>
          <cell r="G61">
            <v>2296</v>
          </cell>
          <cell r="H61">
            <v>32965</v>
          </cell>
          <cell r="I61">
            <v>28112</v>
          </cell>
          <cell r="J61">
            <v>658</v>
          </cell>
        </row>
        <row r="62">
          <cell r="A62" t="str">
            <v>Always_OnEGYouTube</v>
          </cell>
          <cell r="B62">
            <v>44949</v>
          </cell>
          <cell r="C62">
            <v>44949</v>
          </cell>
          <cell r="D62" t="str">
            <v>Always_On</v>
          </cell>
          <cell r="E62" t="str">
            <v>EG</v>
          </cell>
          <cell r="F62" t="str">
            <v>YouTube</v>
          </cell>
          <cell r="G62">
            <v>2862</v>
          </cell>
          <cell r="H62">
            <v>181475</v>
          </cell>
          <cell r="I62">
            <v>63097</v>
          </cell>
          <cell r="J62">
            <v>354</v>
          </cell>
        </row>
        <row r="63">
          <cell r="A63" t="str">
            <v>Always_OnEGSocial</v>
          </cell>
          <cell r="B63">
            <v>44949</v>
          </cell>
          <cell r="C63">
            <v>44949</v>
          </cell>
          <cell r="D63" t="str">
            <v>Always_On</v>
          </cell>
          <cell r="E63" t="str">
            <v>EG</v>
          </cell>
          <cell r="F63" t="str">
            <v>Social</v>
          </cell>
          <cell r="G63">
            <v>4759</v>
          </cell>
          <cell r="H63">
            <v>274111</v>
          </cell>
          <cell r="I63">
            <v>103248</v>
          </cell>
          <cell r="J63">
            <v>613</v>
          </cell>
        </row>
        <row r="64">
          <cell r="A64" t="str">
            <v>Always_OnEGDisplay</v>
          </cell>
          <cell r="B64">
            <v>44949</v>
          </cell>
          <cell r="C64">
            <v>44949</v>
          </cell>
          <cell r="D64" t="str">
            <v>Always_On</v>
          </cell>
          <cell r="E64" t="str">
            <v>EG</v>
          </cell>
          <cell r="F64" t="str">
            <v>Display</v>
          </cell>
          <cell r="G64">
            <v>2683</v>
          </cell>
          <cell r="H64">
            <v>645344</v>
          </cell>
          <cell r="I64">
            <v>126521</v>
          </cell>
          <cell r="J64">
            <v>92</v>
          </cell>
        </row>
        <row r="65">
          <cell r="A65" t="str">
            <v>Always_OnEGSearch</v>
          </cell>
          <cell r="B65">
            <v>44949</v>
          </cell>
          <cell r="C65">
            <v>44949</v>
          </cell>
          <cell r="D65" t="str">
            <v>Always_On</v>
          </cell>
          <cell r="E65" t="str">
            <v>EG</v>
          </cell>
          <cell r="F65" t="str">
            <v>Search</v>
          </cell>
          <cell r="G65">
            <v>3991</v>
          </cell>
          <cell r="H65">
            <v>46982</v>
          </cell>
          <cell r="I65">
            <v>41270</v>
          </cell>
          <cell r="J65">
            <v>1195</v>
          </cell>
        </row>
        <row r="66">
          <cell r="A66" t="str">
            <v>Always_OnUKYouTube</v>
          </cell>
          <cell r="B66">
            <v>44956</v>
          </cell>
          <cell r="C66">
            <v>44956</v>
          </cell>
          <cell r="D66" t="str">
            <v>Always_On</v>
          </cell>
          <cell r="E66" t="str">
            <v>UK</v>
          </cell>
          <cell r="F66" t="str">
            <v>YouTube</v>
          </cell>
          <cell r="G66">
            <v>7567</v>
          </cell>
          <cell r="H66">
            <v>469748</v>
          </cell>
          <cell r="I66">
            <v>225524</v>
          </cell>
          <cell r="J66">
            <v>278</v>
          </cell>
        </row>
        <row r="67">
          <cell r="A67" t="str">
            <v>Always_OnUKSocial</v>
          </cell>
          <cell r="B67">
            <v>44956</v>
          </cell>
          <cell r="C67">
            <v>44956</v>
          </cell>
          <cell r="D67" t="str">
            <v>Always_On</v>
          </cell>
          <cell r="E67" t="str">
            <v>UK</v>
          </cell>
          <cell r="F67" t="str">
            <v>Social</v>
          </cell>
          <cell r="G67">
            <v>6459</v>
          </cell>
          <cell r="H67">
            <v>501771</v>
          </cell>
          <cell r="I67">
            <v>238716</v>
          </cell>
          <cell r="J67">
            <v>202</v>
          </cell>
        </row>
        <row r="68">
          <cell r="A68" t="str">
            <v>Always_OnUKDisplay</v>
          </cell>
          <cell r="B68">
            <v>44956</v>
          </cell>
          <cell r="C68">
            <v>44956</v>
          </cell>
          <cell r="D68" t="str">
            <v>Always_On</v>
          </cell>
          <cell r="E68" t="str">
            <v>UK</v>
          </cell>
          <cell r="F68" t="str">
            <v>Display</v>
          </cell>
          <cell r="G68">
            <v>3098</v>
          </cell>
          <cell r="H68">
            <v>736999</v>
          </cell>
          <cell r="I68">
            <v>154585</v>
          </cell>
          <cell r="J68">
            <v>24</v>
          </cell>
        </row>
        <row r="69">
          <cell r="A69" t="str">
            <v>Always_OnUKSearch</v>
          </cell>
          <cell r="B69">
            <v>44956</v>
          </cell>
          <cell r="C69">
            <v>44956</v>
          </cell>
          <cell r="D69" t="str">
            <v>Always_On</v>
          </cell>
          <cell r="E69" t="str">
            <v>UK</v>
          </cell>
          <cell r="F69" t="str">
            <v>Search</v>
          </cell>
          <cell r="G69">
            <v>6970</v>
          </cell>
          <cell r="H69">
            <v>98438</v>
          </cell>
          <cell r="I69">
            <v>84067</v>
          </cell>
          <cell r="J69">
            <v>575</v>
          </cell>
        </row>
        <row r="70">
          <cell r="A70" t="str">
            <v>Always_OnDEYouTube</v>
          </cell>
          <cell r="B70">
            <v>44956</v>
          </cell>
          <cell r="C70">
            <v>44956</v>
          </cell>
          <cell r="D70" t="str">
            <v>Always_On</v>
          </cell>
          <cell r="E70" t="str">
            <v>DE</v>
          </cell>
          <cell r="F70" t="str">
            <v>YouTube</v>
          </cell>
          <cell r="G70">
            <v>6198</v>
          </cell>
          <cell r="H70">
            <v>342397</v>
          </cell>
          <cell r="I70">
            <v>170884</v>
          </cell>
          <cell r="J70">
            <v>189</v>
          </cell>
        </row>
        <row r="71">
          <cell r="A71" t="str">
            <v>Always_OnDESocial</v>
          </cell>
          <cell r="B71">
            <v>44956</v>
          </cell>
          <cell r="C71">
            <v>44956</v>
          </cell>
          <cell r="D71" t="str">
            <v>Always_On</v>
          </cell>
          <cell r="E71" t="str">
            <v>DE</v>
          </cell>
          <cell r="F71" t="str">
            <v>Social</v>
          </cell>
          <cell r="G71">
            <v>5908</v>
          </cell>
          <cell r="H71">
            <v>486246</v>
          </cell>
          <cell r="I71">
            <v>193402</v>
          </cell>
          <cell r="J71">
            <v>201</v>
          </cell>
        </row>
        <row r="72">
          <cell r="A72" t="str">
            <v>Always_OnDEDisplay</v>
          </cell>
          <cell r="B72">
            <v>44956</v>
          </cell>
          <cell r="C72">
            <v>44956</v>
          </cell>
          <cell r="D72" t="str">
            <v>Always_On</v>
          </cell>
          <cell r="E72" t="str">
            <v>DE</v>
          </cell>
          <cell r="F72" t="str">
            <v>Display</v>
          </cell>
          <cell r="G72">
            <v>4293</v>
          </cell>
          <cell r="H72">
            <v>1110230</v>
          </cell>
          <cell r="I72">
            <v>226725</v>
          </cell>
          <cell r="J72">
            <v>38</v>
          </cell>
        </row>
        <row r="73">
          <cell r="A73" t="str">
            <v>Always_OnDESearch</v>
          </cell>
          <cell r="B73">
            <v>44956</v>
          </cell>
          <cell r="C73">
            <v>44956</v>
          </cell>
          <cell r="D73" t="str">
            <v>Always_On</v>
          </cell>
          <cell r="E73" t="str">
            <v>DE</v>
          </cell>
          <cell r="F73" t="str">
            <v>Search</v>
          </cell>
          <cell r="G73">
            <v>5086</v>
          </cell>
          <cell r="H73">
            <v>74320</v>
          </cell>
          <cell r="I73">
            <v>66836</v>
          </cell>
          <cell r="J73">
            <v>463</v>
          </cell>
        </row>
        <row r="74">
          <cell r="A74" t="str">
            <v>Always_OnSAYouTube</v>
          </cell>
          <cell r="B74">
            <v>44956</v>
          </cell>
          <cell r="C74">
            <v>44956</v>
          </cell>
          <cell r="D74" t="str">
            <v>Always_On</v>
          </cell>
          <cell r="E74" t="str">
            <v>SA</v>
          </cell>
          <cell r="F74" t="str">
            <v>YouTube</v>
          </cell>
          <cell r="G74">
            <v>3916</v>
          </cell>
          <cell r="H74">
            <v>294720</v>
          </cell>
          <cell r="I74">
            <v>104517</v>
          </cell>
          <cell r="J74">
            <v>454</v>
          </cell>
        </row>
        <row r="75">
          <cell r="A75" t="str">
            <v>Always_OnSASocial</v>
          </cell>
          <cell r="B75">
            <v>44956</v>
          </cell>
          <cell r="C75">
            <v>44956</v>
          </cell>
          <cell r="D75" t="str">
            <v>Always_On</v>
          </cell>
          <cell r="E75" t="str">
            <v>SA</v>
          </cell>
          <cell r="F75" t="str">
            <v>Social</v>
          </cell>
          <cell r="G75">
            <v>3269</v>
          </cell>
          <cell r="H75">
            <v>176993</v>
          </cell>
          <cell r="I75">
            <v>82474</v>
          </cell>
          <cell r="J75">
            <v>385</v>
          </cell>
        </row>
        <row r="76">
          <cell r="A76" t="str">
            <v>Always_OnSADisplay</v>
          </cell>
          <cell r="B76">
            <v>44956</v>
          </cell>
          <cell r="C76">
            <v>44956</v>
          </cell>
          <cell r="D76" t="str">
            <v>Always_On</v>
          </cell>
          <cell r="E76" t="str">
            <v>SA</v>
          </cell>
          <cell r="F76" t="str">
            <v>Display</v>
          </cell>
          <cell r="G76">
            <v>1274</v>
          </cell>
          <cell r="H76">
            <v>261831</v>
          </cell>
          <cell r="I76">
            <v>56887</v>
          </cell>
          <cell r="J76">
            <v>43</v>
          </cell>
        </row>
        <row r="77">
          <cell r="A77" t="str">
            <v>Always_OnSASearch</v>
          </cell>
          <cell r="B77">
            <v>44956</v>
          </cell>
          <cell r="C77">
            <v>44956</v>
          </cell>
          <cell r="D77" t="str">
            <v>Always_On</v>
          </cell>
          <cell r="E77" t="str">
            <v>SA</v>
          </cell>
          <cell r="F77" t="str">
            <v>Search</v>
          </cell>
          <cell r="G77">
            <v>3888</v>
          </cell>
          <cell r="H77">
            <v>56690</v>
          </cell>
          <cell r="I77">
            <v>47426</v>
          </cell>
          <cell r="J77">
            <v>1279</v>
          </cell>
        </row>
        <row r="78">
          <cell r="A78" t="str">
            <v>Always_OnEGYouTube</v>
          </cell>
          <cell r="B78">
            <v>44956</v>
          </cell>
          <cell r="C78">
            <v>44956</v>
          </cell>
          <cell r="D78" t="str">
            <v>Always_On</v>
          </cell>
          <cell r="E78" t="str">
            <v>EG</v>
          </cell>
          <cell r="F78" t="str">
            <v>YouTube</v>
          </cell>
          <cell r="G78">
            <v>2041</v>
          </cell>
          <cell r="H78">
            <v>133559</v>
          </cell>
          <cell r="I78">
            <v>60429</v>
          </cell>
          <cell r="J78">
            <v>261</v>
          </cell>
        </row>
        <row r="79">
          <cell r="A79" t="str">
            <v>Always_OnEGSocial</v>
          </cell>
          <cell r="B79">
            <v>44956</v>
          </cell>
          <cell r="C79">
            <v>44956</v>
          </cell>
          <cell r="D79" t="str">
            <v>Always_On</v>
          </cell>
          <cell r="E79" t="str">
            <v>EG</v>
          </cell>
          <cell r="F79" t="str">
            <v>Social</v>
          </cell>
          <cell r="G79">
            <v>3603</v>
          </cell>
          <cell r="H79">
            <v>193738</v>
          </cell>
          <cell r="I79">
            <v>77547</v>
          </cell>
          <cell r="J79">
            <v>423</v>
          </cell>
        </row>
        <row r="80">
          <cell r="A80" t="str">
            <v>Always_OnEGDisplay</v>
          </cell>
          <cell r="B80">
            <v>44956</v>
          </cell>
          <cell r="C80">
            <v>44956</v>
          </cell>
          <cell r="D80" t="str">
            <v>Always_On</v>
          </cell>
          <cell r="E80" t="str">
            <v>EG</v>
          </cell>
          <cell r="F80" t="str">
            <v>Display</v>
          </cell>
          <cell r="G80">
            <v>2954</v>
          </cell>
          <cell r="H80">
            <v>843713</v>
          </cell>
          <cell r="I80">
            <v>196470</v>
          </cell>
          <cell r="J80">
            <v>92</v>
          </cell>
        </row>
        <row r="81">
          <cell r="A81" t="str">
            <v>Always_OnEGSearch</v>
          </cell>
          <cell r="B81">
            <v>44956</v>
          </cell>
          <cell r="C81">
            <v>44956</v>
          </cell>
          <cell r="D81" t="str">
            <v>Always_On</v>
          </cell>
          <cell r="E81" t="str">
            <v>EG</v>
          </cell>
          <cell r="F81" t="str">
            <v>Search</v>
          </cell>
          <cell r="G81">
            <v>3360</v>
          </cell>
          <cell r="H81">
            <v>49531</v>
          </cell>
          <cell r="I81">
            <v>41529</v>
          </cell>
          <cell r="J81">
            <v>980</v>
          </cell>
        </row>
        <row r="82">
          <cell r="A82" t="str">
            <v>Always_OnUKYouTube</v>
          </cell>
          <cell r="B82">
            <v>44963</v>
          </cell>
          <cell r="C82">
            <v>44963</v>
          </cell>
          <cell r="D82" t="str">
            <v>Always_On</v>
          </cell>
          <cell r="E82" t="str">
            <v>UK</v>
          </cell>
          <cell r="F82" t="str">
            <v>YouTube</v>
          </cell>
          <cell r="G82">
            <v>4278</v>
          </cell>
          <cell r="H82">
            <v>379297</v>
          </cell>
          <cell r="I82">
            <v>173484</v>
          </cell>
          <cell r="J82">
            <v>131</v>
          </cell>
        </row>
        <row r="83">
          <cell r="A83" t="str">
            <v>Always_OnUKSocial</v>
          </cell>
          <cell r="B83">
            <v>44963</v>
          </cell>
          <cell r="C83">
            <v>44963</v>
          </cell>
          <cell r="D83" t="str">
            <v>Always_On</v>
          </cell>
          <cell r="E83" t="str">
            <v>UK</v>
          </cell>
          <cell r="F83" t="str">
            <v>Social</v>
          </cell>
          <cell r="G83">
            <v>4283</v>
          </cell>
          <cell r="H83">
            <v>350667</v>
          </cell>
          <cell r="I83">
            <v>160373</v>
          </cell>
          <cell r="J83">
            <v>144</v>
          </cell>
        </row>
        <row r="84">
          <cell r="A84" t="str">
            <v>Always_OnUKDisplay</v>
          </cell>
          <cell r="B84">
            <v>44963</v>
          </cell>
          <cell r="C84">
            <v>44963</v>
          </cell>
          <cell r="D84" t="str">
            <v>Always_On</v>
          </cell>
          <cell r="E84" t="str">
            <v>UK</v>
          </cell>
          <cell r="F84" t="str">
            <v>Display</v>
          </cell>
          <cell r="G84">
            <v>2965</v>
          </cell>
          <cell r="H84">
            <v>597899</v>
          </cell>
          <cell r="I84">
            <v>101520</v>
          </cell>
          <cell r="J84">
            <v>24</v>
          </cell>
        </row>
        <row r="85">
          <cell r="A85" t="str">
            <v>Always_OnUKSearch</v>
          </cell>
          <cell r="B85">
            <v>44963</v>
          </cell>
          <cell r="C85">
            <v>44963</v>
          </cell>
          <cell r="D85" t="str">
            <v>Always_On</v>
          </cell>
          <cell r="E85" t="str">
            <v>UK</v>
          </cell>
          <cell r="F85" t="str">
            <v>Search</v>
          </cell>
          <cell r="G85">
            <v>6217</v>
          </cell>
          <cell r="H85">
            <v>62899</v>
          </cell>
          <cell r="I85">
            <v>53334</v>
          </cell>
          <cell r="J85">
            <v>500</v>
          </cell>
        </row>
        <row r="86">
          <cell r="A86" t="str">
            <v>Always_OnDEYouTube</v>
          </cell>
          <cell r="B86">
            <v>44963</v>
          </cell>
          <cell r="C86">
            <v>44963</v>
          </cell>
          <cell r="D86" t="str">
            <v>Always_On</v>
          </cell>
          <cell r="E86" t="str">
            <v>DE</v>
          </cell>
          <cell r="F86" t="str">
            <v>YouTube</v>
          </cell>
          <cell r="G86">
            <v>5395</v>
          </cell>
          <cell r="H86">
            <v>356111</v>
          </cell>
          <cell r="I86">
            <v>148328</v>
          </cell>
          <cell r="J86">
            <v>191</v>
          </cell>
        </row>
        <row r="87">
          <cell r="A87" t="str">
            <v>Always_OnDESocial</v>
          </cell>
          <cell r="B87">
            <v>44963</v>
          </cell>
          <cell r="C87">
            <v>44963</v>
          </cell>
          <cell r="D87" t="str">
            <v>Always_On</v>
          </cell>
          <cell r="E87" t="str">
            <v>DE</v>
          </cell>
          <cell r="F87" t="str">
            <v>Social</v>
          </cell>
          <cell r="G87">
            <v>4673</v>
          </cell>
          <cell r="H87">
            <v>286824</v>
          </cell>
          <cell r="I87">
            <v>121794</v>
          </cell>
          <cell r="J87">
            <v>152</v>
          </cell>
        </row>
        <row r="88">
          <cell r="A88" t="str">
            <v>Always_OnDEDisplay</v>
          </cell>
          <cell r="B88">
            <v>44963</v>
          </cell>
          <cell r="C88">
            <v>44963</v>
          </cell>
          <cell r="D88" t="str">
            <v>Always_On</v>
          </cell>
          <cell r="E88" t="str">
            <v>DE</v>
          </cell>
          <cell r="F88" t="str">
            <v>Display</v>
          </cell>
          <cell r="G88">
            <v>4101</v>
          </cell>
          <cell r="H88">
            <v>1081492</v>
          </cell>
          <cell r="I88">
            <v>235229</v>
          </cell>
          <cell r="J88">
            <v>32</v>
          </cell>
        </row>
        <row r="89">
          <cell r="A89" t="str">
            <v>Always_OnDESearch</v>
          </cell>
          <cell r="B89">
            <v>44963</v>
          </cell>
          <cell r="C89">
            <v>44963</v>
          </cell>
          <cell r="D89" t="str">
            <v>Always_On</v>
          </cell>
          <cell r="E89" t="str">
            <v>DE</v>
          </cell>
          <cell r="F89" t="str">
            <v>Search</v>
          </cell>
          <cell r="G89">
            <v>6894</v>
          </cell>
          <cell r="H89">
            <v>84080</v>
          </cell>
          <cell r="I89">
            <v>74403</v>
          </cell>
          <cell r="J89">
            <v>563</v>
          </cell>
        </row>
        <row r="90">
          <cell r="A90" t="str">
            <v>Always_OnSAYouTube</v>
          </cell>
          <cell r="B90">
            <v>44963</v>
          </cell>
          <cell r="C90">
            <v>44963</v>
          </cell>
          <cell r="D90" t="str">
            <v>Always_On</v>
          </cell>
          <cell r="E90" t="str">
            <v>SA</v>
          </cell>
          <cell r="F90" t="str">
            <v>YouTube</v>
          </cell>
          <cell r="G90">
            <v>5058</v>
          </cell>
          <cell r="H90">
            <v>408545</v>
          </cell>
          <cell r="I90">
            <v>147040</v>
          </cell>
          <cell r="J90">
            <v>637</v>
          </cell>
        </row>
        <row r="91">
          <cell r="A91" t="str">
            <v>Always_OnSASocial</v>
          </cell>
          <cell r="B91">
            <v>44963</v>
          </cell>
          <cell r="C91">
            <v>44963</v>
          </cell>
          <cell r="D91" t="str">
            <v>Always_On</v>
          </cell>
          <cell r="E91" t="str">
            <v>SA</v>
          </cell>
          <cell r="F91" t="str">
            <v>Social</v>
          </cell>
          <cell r="G91">
            <v>2849</v>
          </cell>
          <cell r="H91">
            <v>195829</v>
          </cell>
          <cell r="I91">
            <v>80540</v>
          </cell>
          <cell r="J91">
            <v>384</v>
          </cell>
        </row>
        <row r="92">
          <cell r="A92" t="str">
            <v>Always_OnSADisplay</v>
          </cell>
          <cell r="B92">
            <v>44963</v>
          </cell>
          <cell r="C92">
            <v>44963</v>
          </cell>
          <cell r="D92" t="str">
            <v>Always_On</v>
          </cell>
          <cell r="E92" t="str">
            <v>SA</v>
          </cell>
          <cell r="F92" t="str">
            <v>Display</v>
          </cell>
          <cell r="G92">
            <v>1416</v>
          </cell>
          <cell r="H92">
            <v>291564</v>
          </cell>
          <cell r="I92">
            <v>62475</v>
          </cell>
          <cell r="J92">
            <v>41</v>
          </cell>
        </row>
        <row r="93">
          <cell r="A93" t="str">
            <v>Always_OnSASearch</v>
          </cell>
          <cell r="B93">
            <v>44963</v>
          </cell>
          <cell r="C93">
            <v>44963</v>
          </cell>
          <cell r="D93" t="str">
            <v>Always_On</v>
          </cell>
          <cell r="E93" t="str">
            <v>SA</v>
          </cell>
          <cell r="F93" t="str">
            <v>Search</v>
          </cell>
          <cell r="G93">
            <v>2068</v>
          </cell>
          <cell r="H93">
            <v>29378</v>
          </cell>
          <cell r="I93">
            <v>25472</v>
          </cell>
          <cell r="J93">
            <v>604</v>
          </cell>
        </row>
        <row r="94">
          <cell r="A94" t="str">
            <v>Always_OnEGYouTube</v>
          </cell>
          <cell r="B94">
            <v>44963</v>
          </cell>
          <cell r="C94">
            <v>44963</v>
          </cell>
          <cell r="D94" t="str">
            <v>Always_On</v>
          </cell>
          <cell r="E94" t="str">
            <v>EG</v>
          </cell>
          <cell r="F94" t="str">
            <v>YouTube</v>
          </cell>
          <cell r="G94">
            <v>2187</v>
          </cell>
          <cell r="H94">
            <v>174874</v>
          </cell>
          <cell r="I94">
            <v>60771</v>
          </cell>
          <cell r="J94">
            <v>281</v>
          </cell>
        </row>
        <row r="95">
          <cell r="A95" t="str">
            <v>Always_OnEGSocial</v>
          </cell>
          <cell r="B95">
            <v>44963</v>
          </cell>
          <cell r="C95">
            <v>44963</v>
          </cell>
          <cell r="D95" t="str">
            <v>Always_On</v>
          </cell>
          <cell r="E95" t="str">
            <v>EG</v>
          </cell>
          <cell r="F95" t="str">
            <v>Social</v>
          </cell>
          <cell r="G95">
            <v>4064</v>
          </cell>
          <cell r="H95">
            <v>203876</v>
          </cell>
          <cell r="I95">
            <v>89099</v>
          </cell>
          <cell r="J95">
            <v>518</v>
          </cell>
        </row>
        <row r="96">
          <cell r="A96" t="str">
            <v>Always_OnEGDisplay</v>
          </cell>
          <cell r="B96">
            <v>44963</v>
          </cell>
          <cell r="C96">
            <v>44963</v>
          </cell>
          <cell r="D96" t="str">
            <v>Always_On</v>
          </cell>
          <cell r="E96" t="str">
            <v>EG</v>
          </cell>
          <cell r="F96" t="str">
            <v>Display</v>
          </cell>
          <cell r="G96">
            <v>3111</v>
          </cell>
          <cell r="H96">
            <v>765765</v>
          </cell>
          <cell r="I96">
            <v>137683</v>
          </cell>
          <cell r="J96">
            <v>99</v>
          </cell>
        </row>
        <row r="97">
          <cell r="A97" t="str">
            <v>Always_OnEGSearch</v>
          </cell>
          <cell r="B97">
            <v>44963</v>
          </cell>
          <cell r="C97">
            <v>44963</v>
          </cell>
          <cell r="D97" t="str">
            <v>Always_On</v>
          </cell>
          <cell r="E97" t="str">
            <v>EG</v>
          </cell>
          <cell r="F97" t="str">
            <v>Search</v>
          </cell>
          <cell r="G97">
            <v>4172</v>
          </cell>
          <cell r="H97">
            <v>47122</v>
          </cell>
          <cell r="I97">
            <v>40604</v>
          </cell>
          <cell r="J97">
            <v>1320</v>
          </cell>
        </row>
        <row r="98">
          <cell r="A98" t="str">
            <v>Always_OnUKYouTube</v>
          </cell>
          <cell r="B98">
            <v>44970</v>
          </cell>
          <cell r="C98">
            <v>44970</v>
          </cell>
          <cell r="D98" t="str">
            <v>Always_On</v>
          </cell>
          <cell r="E98" t="str">
            <v>UK</v>
          </cell>
          <cell r="F98" t="str">
            <v>YouTube</v>
          </cell>
          <cell r="G98">
            <v>6651</v>
          </cell>
          <cell r="H98">
            <v>598452</v>
          </cell>
          <cell r="I98">
            <v>225367</v>
          </cell>
          <cell r="J98">
            <v>223</v>
          </cell>
        </row>
        <row r="99">
          <cell r="A99" t="str">
            <v>Always_OnUKSocial</v>
          </cell>
          <cell r="B99">
            <v>44970</v>
          </cell>
          <cell r="C99">
            <v>44970</v>
          </cell>
          <cell r="D99" t="str">
            <v>Always_On</v>
          </cell>
          <cell r="E99" t="str">
            <v>UK</v>
          </cell>
          <cell r="F99" t="str">
            <v>Social</v>
          </cell>
          <cell r="G99">
            <v>3274</v>
          </cell>
          <cell r="H99">
            <v>164932</v>
          </cell>
          <cell r="I99">
            <v>55816</v>
          </cell>
          <cell r="J99">
            <v>106</v>
          </cell>
        </row>
        <row r="100">
          <cell r="A100" t="str">
            <v>Always_OnUKDisplay</v>
          </cell>
          <cell r="B100">
            <v>44970</v>
          </cell>
          <cell r="C100">
            <v>44970</v>
          </cell>
          <cell r="D100" t="str">
            <v>Always_On</v>
          </cell>
          <cell r="E100" t="str">
            <v>UK</v>
          </cell>
          <cell r="F100" t="str">
            <v>Display</v>
          </cell>
          <cell r="G100">
            <v>4520</v>
          </cell>
          <cell r="H100">
            <v>1221098</v>
          </cell>
          <cell r="I100">
            <v>263956</v>
          </cell>
          <cell r="J100">
            <v>38</v>
          </cell>
        </row>
        <row r="101">
          <cell r="A101" t="str">
            <v>Always_OnUKSearch</v>
          </cell>
          <cell r="B101">
            <v>44970</v>
          </cell>
          <cell r="C101">
            <v>44970</v>
          </cell>
          <cell r="D101" t="str">
            <v>Always_On</v>
          </cell>
          <cell r="E101" t="str">
            <v>UK</v>
          </cell>
          <cell r="F101" t="str">
            <v>Search</v>
          </cell>
          <cell r="G101">
            <v>6465</v>
          </cell>
          <cell r="H101">
            <v>76074</v>
          </cell>
          <cell r="I101">
            <v>67707</v>
          </cell>
          <cell r="J101">
            <v>503</v>
          </cell>
        </row>
        <row r="102">
          <cell r="A102" t="str">
            <v>Always_OnDEYouTube</v>
          </cell>
          <cell r="B102">
            <v>44970</v>
          </cell>
          <cell r="C102">
            <v>44970</v>
          </cell>
          <cell r="D102" t="str">
            <v>Always_On</v>
          </cell>
          <cell r="E102" t="str">
            <v>DE</v>
          </cell>
          <cell r="F102" t="str">
            <v>YouTube</v>
          </cell>
          <cell r="G102">
            <v>5105</v>
          </cell>
          <cell r="H102">
            <v>367616</v>
          </cell>
          <cell r="I102">
            <v>123266</v>
          </cell>
          <cell r="J102">
            <v>180</v>
          </cell>
        </row>
        <row r="103">
          <cell r="A103" t="str">
            <v>Always_OnDESocial</v>
          </cell>
          <cell r="B103">
            <v>44970</v>
          </cell>
          <cell r="C103">
            <v>44970</v>
          </cell>
          <cell r="D103" t="str">
            <v>Always_On</v>
          </cell>
          <cell r="E103" t="str">
            <v>DE</v>
          </cell>
          <cell r="F103" t="str">
            <v>Social</v>
          </cell>
          <cell r="G103">
            <v>6099</v>
          </cell>
          <cell r="H103">
            <v>462623</v>
          </cell>
          <cell r="I103">
            <v>218803</v>
          </cell>
          <cell r="J103">
            <v>205</v>
          </cell>
        </row>
        <row r="104">
          <cell r="A104" t="str">
            <v>Always_OnDEDisplay</v>
          </cell>
          <cell r="B104">
            <v>44970</v>
          </cell>
          <cell r="C104">
            <v>44970</v>
          </cell>
          <cell r="D104" t="str">
            <v>Always_On</v>
          </cell>
          <cell r="E104" t="str">
            <v>DE</v>
          </cell>
          <cell r="F104" t="str">
            <v>Display</v>
          </cell>
          <cell r="G104">
            <v>3488</v>
          </cell>
          <cell r="H104">
            <v>856793</v>
          </cell>
          <cell r="I104">
            <v>188059</v>
          </cell>
          <cell r="J104">
            <v>26</v>
          </cell>
        </row>
        <row r="105">
          <cell r="A105" t="str">
            <v>Always_OnDESearch</v>
          </cell>
          <cell r="B105">
            <v>44970</v>
          </cell>
          <cell r="C105">
            <v>44970</v>
          </cell>
          <cell r="D105" t="str">
            <v>Always_On</v>
          </cell>
          <cell r="E105" t="str">
            <v>DE</v>
          </cell>
          <cell r="F105" t="str">
            <v>Search</v>
          </cell>
          <cell r="G105">
            <v>4660</v>
          </cell>
          <cell r="H105">
            <v>63317</v>
          </cell>
          <cell r="I105">
            <v>56822</v>
          </cell>
          <cell r="J105">
            <v>426</v>
          </cell>
        </row>
        <row r="106">
          <cell r="A106" t="str">
            <v>Always_OnSAYouTube</v>
          </cell>
          <cell r="B106">
            <v>44970</v>
          </cell>
          <cell r="C106">
            <v>44970</v>
          </cell>
          <cell r="D106" t="str">
            <v>Always_On</v>
          </cell>
          <cell r="E106" t="str">
            <v>SA</v>
          </cell>
          <cell r="F106" t="str">
            <v>YouTube</v>
          </cell>
          <cell r="G106">
            <v>3558</v>
          </cell>
          <cell r="H106">
            <v>309532</v>
          </cell>
          <cell r="I106">
            <v>117207</v>
          </cell>
          <cell r="J106">
            <v>447</v>
          </cell>
        </row>
        <row r="107">
          <cell r="A107" t="str">
            <v>Always_OnSASocial</v>
          </cell>
          <cell r="B107">
            <v>44970</v>
          </cell>
          <cell r="C107">
            <v>44970</v>
          </cell>
          <cell r="D107" t="str">
            <v>Always_On</v>
          </cell>
          <cell r="E107" t="str">
            <v>SA</v>
          </cell>
          <cell r="F107" t="str">
            <v>Social</v>
          </cell>
          <cell r="G107">
            <v>3432</v>
          </cell>
          <cell r="H107">
            <v>207503</v>
          </cell>
          <cell r="I107">
            <v>76009</v>
          </cell>
          <cell r="J107">
            <v>464</v>
          </cell>
        </row>
        <row r="108">
          <cell r="A108" t="str">
            <v>Always_OnSADisplay</v>
          </cell>
          <cell r="B108">
            <v>44970</v>
          </cell>
          <cell r="C108">
            <v>44970</v>
          </cell>
          <cell r="D108" t="str">
            <v>Always_On</v>
          </cell>
          <cell r="E108" t="str">
            <v>SA</v>
          </cell>
          <cell r="F108" t="str">
            <v>Display</v>
          </cell>
          <cell r="G108">
            <v>1783</v>
          </cell>
          <cell r="H108">
            <v>444634</v>
          </cell>
          <cell r="I108">
            <v>87177</v>
          </cell>
          <cell r="J108">
            <v>51</v>
          </cell>
        </row>
        <row r="109">
          <cell r="A109" t="str">
            <v>Always_OnSASearch</v>
          </cell>
          <cell r="B109">
            <v>44970</v>
          </cell>
          <cell r="C109">
            <v>44970</v>
          </cell>
          <cell r="D109" t="str">
            <v>Always_On</v>
          </cell>
          <cell r="E109" t="str">
            <v>SA</v>
          </cell>
          <cell r="F109" t="str">
            <v>Search</v>
          </cell>
          <cell r="G109">
            <v>3263</v>
          </cell>
          <cell r="H109">
            <v>45868</v>
          </cell>
          <cell r="I109">
            <v>38513</v>
          </cell>
          <cell r="J109">
            <v>1094</v>
          </cell>
        </row>
        <row r="110">
          <cell r="A110" t="str">
            <v>Always_OnEGYouTube</v>
          </cell>
          <cell r="B110">
            <v>44970</v>
          </cell>
          <cell r="C110">
            <v>44970</v>
          </cell>
          <cell r="D110" t="str">
            <v>Always_On</v>
          </cell>
          <cell r="E110" t="str">
            <v>EG</v>
          </cell>
          <cell r="F110" t="str">
            <v>YouTube</v>
          </cell>
          <cell r="G110">
            <v>2119</v>
          </cell>
          <cell r="H110">
            <v>131238</v>
          </cell>
          <cell r="I110">
            <v>62248</v>
          </cell>
          <cell r="J110">
            <v>275</v>
          </cell>
        </row>
        <row r="111">
          <cell r="A111" t="str">
            <v>Always_OnEGSocial</v>
          </cell>
          <cell r="B111">
            <v>44970</v>
          </cell>
          <cell r="C111">
            <v>44970</v>
          </cell>
          <cell r="D111" t="str">
            <v>Always_On</v>
          </cell>
          <cell r="E111" t="str">
            <v>EG</v>
          </cell>
          <cell r="F111" t="str">
            <v>Social</v>
          </cell>
          <cell r="G111">
            <v>4247</v>
          </cell>
          <cell r="H111">
            <v>271012</v>
          </cell>
          <cell r="I111">
            <v>129602</v>
          </cell>
          <cell r="J111">
            <v>552</v>
          </cell>
        </row>
        <row r="112">
          <cell r="A112" t="str">
            <v>Always_OnEGDisplay</v>
          </cell>
          <cell r="B112">
            <v>44970</v>
          </cell>
          <cell r="C112">
            <v>44970</v>
          </cell>
          <cell r="D112" t="str">
            <v>Always_On</v>
          </cell>
          <cell r="E112" t="str">
            <v>EG</v>
          </cell>
          <cell r="F112" t="str">
            <v>Display</v>
          </cell>
          <cell r="G112">
            <v>1275</v>
          </cell>
          <cell r="H112">
            <v>311129</v>
          </cell>
          <cell r="I112">
            <v>72670</v>
          </cell>
          <cell r="J112">
            <v>39</v>
          </cell>
        </row>
        <row r="113">
          <cell r="A113" t="str">
            <v>Always_OnEGSearch</v>
          </cell>
          <cell r="B113">
            <v>44970</v>
          </cell>
          <cell r="C113">
            <v>44970</v>
          </cell>
          <cell r="D113" t="str">
            <v>Always_On</v>
          </cell>
          <cell r="E113" t="str">
            <v>EG</v>
          </cell>
          <cell r="F113" t="str">
            <v>Search</v>
          </cell>
          <cell r="G113">
            <v>2617</v>
          </cell>
          <cell r="H113">
            <v>26729</v>
          </cell>
          <cell r="I113">
            <v>23417</v>
          </cell>
          <cell r="J113">
            <v>904</v>
          </cell>
        </row>
        <row r="114">
          <cell r="A114" t="str">
            <v>Always_OnUKYouTube</v>
          </cell>
          <cell r="B114">
            <v>44977</v>
          </cell>
          <cell r="C114">
            <v>44977</v>
          </cell>
          <cell r="D114" t="str">
            <v>Always_On</v>
          </cell>
          <cell r="E114" t="str">
            <v>UK</v>
          </cell>
          <cell r="F114" t="str">
            <v>YouTube</v>
          </cell>
          <cell r="G114">
            <v>7071</v>
          </cell>
          <cell r="H114">
            <v>404763</v>
          </cell>
          <cell r="I114">
            <v>180951</v>
          </cell>
          <cell r="J114">
            <v>234</v>
          </cell>
        </row>
        <row r="115">
          <cell r="A115" t="str">
            <v>Always_OnUKSocial</v>
          </cell>
          <cell r="B115">
            <v>44977</v>
          </cell>
          <cell r="C115">
            <v>44977</v>
          </cell>
          <cell r="D115" t="str">
            <v>Always_On</v>
          </cell>
          <cell r="E115" t="str">
            <v>UK</v>
          </cell>
          <cell r="F115" t="str">
            <v>Social</v>
          </cell>
          <cell r="G115">
            <v>3560</v>
          </cell>
          <cell r="H115">
            <v>220151</v>
          </cell>
          <cell r="I115">
            <v>108300</v>
          </cell>
          <cell r="J115">
            <v>117</v>
          </cell>
        </row>
        <row r="116">
          <cell r="A116" t="str">
            <v>Always_OnUKDisplay</v>
          </cell>
          <cell r="B116">
            <v>44977</v>
          </cell>
          <cell r="C116">
            <v>44977</v>
          </cell>
          <cell r="D116" t="str">
            <v>Always_On</v>
          </cell>
          <cell r="E116" t="str">
            <v>UK</v>
          </cell>
          <cell r="F116" t="str">
            <v>Display</v>
          </cell>
          <cell r="G116">
            <v>2673</v>
          </cell>
          <cell r="H116">
            <v>707069</v>
          </cell>
          <cell r="I116">
            <v>145297</v>
          </cell>
          <cell r="J116">
            <v>22</v>
          </cell>
        </row>
        <row r="117">
          <cell r="A117" t="str">
            <v>Always_OnUKSearch</v>
          </cell>
          <cell r="B117">
            <v>44977</v>
          </cell>
          <cell r="C117">
            <v>44977</v>
          </cell>
          <cell r="D117" t="str">
            <v>Always_On</v>
          </cell>
          <cell r="E117" t="str">
            <v>UK</v>
          </cell>
          <cell r="F117" t="str">
            <v>Search</v>
          </cell>
          <cell r="G117">
            <v>6378</v>
          </cell>
          <cell r="H117">
            <v>65171</v>
          </cell>
          <cell r="I117">
            <v>56419</v>
          </cell>
          <cell r="J117">
            <v>534</v>
          </cell>
        </row>
        <row r="118">
          <cell r="A118" t="str">
            <v>Always_OnDEYouTube</v>
          </cell>
          <cell r="B118">
            <v>44977</v>
          </cell>
          <cell r="C118">
            <v>44977</v>
          </cell>
          <cell r="D118" t="str">
            <v>Always_On</v>
          </cell>
          <cell r="E118" t="str">
            <v>DE</v>
          </cell>
          <cell r="F118" t="str">
            <v>YouTube</v>
          </cell>
          <cell r="G118">
            <v>3388</v>
          </cell>
          <cell r="H118">
            <v>231550</v>
          </cell>
          <cell r="I118">
            <v>102188</v>
          </cell>
          <cell r="J118">
            <v>117</v>
          </cell>
        </row>
        <row r="119">
          <cell r="A119" t="str">
            <v>Always_OnDESocial</v>
          </cell>
          <cell r="B119">
            <v>44977</v>
          </cell>
          <cell r="C119">
            <v>44977</v>
          </cell>
          <cell r="D119" t="str">
            <v>Always_On</v>
          </cell>
          <cell r="E119" t="str">
            <v>DE</v>
          </cell>
          <cell r="F119" t="str">
            <v>Social</v>
          </cell>
          <cell r="G119">
            <v>4264</v>
          </cell>
          <cell r="H119">
            <v>232610</v>
          </cell>
          <cell r="I119">
            <v>87991</v>
          </cell>
          <cell r="J119">
            <v>134</v>
          </cell>
        </row>
        <row r="120">
          <cell r="A120" t="str">
            <v>Always_OnDEDisplay</v>
          </cell>
          <cell r="B120">
            <v>44977</v>
          </cell>
          <cell r="C120">
            <v>44977</v>
          </cell>
          <cell r="D120" t="str">
            <v>Always_On</v>
          </cell>
          <cell r="E120" t="str">
            <v>DE</v>
          </cell>
          <cell r="F120" t="str">
            <v>Display</v>
          </cell>
          <cell r="G120">
            <v>3352</v>
          </cell>
          <cell r="H120">
            <v>861283</v>
          </cell>
          <cell r="I120">
            <v>185951</v>
          </cell>
          <cell r="J120">
            <v>26</v>
          </cell>
        </row>
        <row r="121">
          <cell r="A121" t="str">
            <v>Always_OnDESearch</v>
          </cell>
          <cell r="B121">
            <v>44977</v>
          </cell>
          <cell r="C121">
            <v>44977</v>
          </cell>
          <cell r="D121" t="str">
            <v>Always_On</v>
          </cell>
          <cell r="E121" t="str">
            <v>DE</v>
          </cell>
          <cell r="F121" t="str">
            <v>Search</v>
          </cell>
          <cell r="G121">
            <v>6745</v>
          </cell>
          <cell r="H121">
            <v>97942</v>
          </cell>
          <cell r="I121">
            <v>82417</v>
          </cell>
          <cell r="J121">
            <v>605</v>
          </cell>
        </row>
        <row r="122">
          <cell r="A122" t="str">
            <v>Always_OnSAYouTube</v>
          </cell>
          <cell r="B122">
            <v>44977</v>
          </cell>
          <cell r="C122">
            <v>44977</v>
          </cell>
          <cell r="D122" t="str">
            <v>Always_On</v>
          </cell>
          <cell r="E122" t="str">
            <v>SA</v>
          </cell>
          <cell r="F122" t="str">
            <v>YouTube</v>
          </cell>
          <cell r="G122">
            <v>3612</v>
          </cell>
          <cell r="H122">
            <v>186324</v>
          </cell>
          <cell r="I122">
            <v>76295</v>
          </cell>
          <cell r="J122">
            <v>433</v>
          </cell>
        </row>
        <row r="123">
          <cell r="A123" t="str">
            <v>Always_OnSASocial</v>
          </cell>
          <cell r="B123">
            <v>44977</v>
          </cell>
          <cell r="C123">
            <v>44977</v>
          </cell>
          <cell r="D123" t="str">
            <v>Always_On</v>
          </cell>
          <cell r="E123" t="str">
            <v>SA</v>
          </cell>
          <cell r="F123" t="str">
            <v>Social</v>
          </cell>
          <cell r="G123">
            <v>5199</v>
          </cell>
          <cell r="H123">
            <v>403058</v>
          </cell>
          <cell r="I123">
            <v>139030</v>
          </cell>
          <cell r="J123">
            <v>649</v>
          </cell>
        </row>
        <row r="124">
          <cell r="A124" t="str">
            <v>Always_OnSADisplay</v>
          </cell>
          <cell r="B124">
            <v>44977</v>
          </cell>
          <cell r="C124">
            <v>44977</v>
          </cell>
          <cell r="D124" t="str">
            <v>Always_On</v>
          </cell>
          <cell r="E124" t="str">
            <v>SA</v>
          </cell>
          <cell r="F124" t="str">
            <v>Display</v>
          </cell>
          <cell r="G124">
            <v>1500</v>
          </cell>
          <cell r="H124">
            <v>442451</v>
          </cell>
          <cell r="I124">
            <v>85357</v>
          </cell>
          <cell r="J124">
            <v>46</v>
          </cell>
        </row>
        <row r="125">
          <cell r="A125" t="str">
            <v>Always_OnSASearch</v>
          </cell>
          <cell r="B125">
            <v>44977</v>
          </cell>
          <cell r="C125">
            <v>44977</v>
          </cell>
          <cell r="D125" t="str">
            <v>Always_On</v>
          </cell>
          <cell r="E125" t="str">
            <v>SA</v>
          </cell>
          <cell r="F125" t="str">
            <v>Search</v>
          </cell>
          <cell r="G125">
            <v>2966</v>
          </cell>
          <cell r="H125">
            <v>42366</v>
          </cell>
          <cell r="I125">
            <v>36186</v>
          </cell>
          <cell r="J125">
            <v>1007</v>
          </cell>
        </row>
        <row r="126">
          <cell r="A126" t="str">
            <v>Always_OnEGYouTube</v>
          </cell>
          <cell r="B126">
            <v>44977</v>
          </cell>
          <cell r="C126">
            <v>44977</v>
          </cell>
          <cell r="D126" t="str">
            <v>Always_On</v>
          </cell>
          <cell r="E126" t="str">
            <v>EG</v>
          </cell>
          <cell r="F126" t="str">
            <v>YouTube</v>
          </cell>
          <cell r="G126">
            <v>2641</v>
          </cell>
          <cell r="H126">
            <v>160689</v>
          </cell>
          <cell r="I126">
            <v>56938</v>
          </cell>
          <cell r="J126">
            <v>312</v>
          </cell>
        </row>
        <row r="127">
          <cell r="A127" t="str">
            <v>Always_OnEGSocial</v>
          </cell>
          <cell r="B127">
            <v>44977</v>
          </cell>
          <cell r="C127">
            <v>44977</v>
          </cell>
          <cell r="D127" t="str">
            <v>Always_On</v>
          </cell>
          <cell r="E127" t="str">
            <v>EG</v>
          </cell>
          <cell r="F127" t="str">
            <v>Social</v>
          </cell>
          <cell r="G127">
            <v>4682</v>
          </cell>
          <cell r="H127">
            <v>269144</v>
          </cell>
          <cell r="I127">
            <v>129286</v>
          </cell>
          <cell r="J127">
            <v>545</v>
          </cell>
        </row>
        <row r="128">
          <cell r="A128" t="str">
            <v>Always_OnEGDisplay</v>
          </cell>
          <cell r="B128">
            <v>44977</v>
          </cell>
          <cell r="C128">
            <v>44977</v>
          </cell>
          <cell r="D128" t="str">
            <v>Always_On</v>
          </cell>
          <cell r="E128" t="str">
            <v>EG</v>
          </cell>
          <cell r="F128" t="str">
            <v>Display</v>
          </cell>
          <cell r="G128">
            <v>2858</v>
          </cell>
          <cell r="H128">
            <v>728634</v>
          </cell>
          <cell r="I128">
            <v>165831</v>
          </cell>
          <cell r="J128">
            <v>91</v>
          </cell>
        </row>
        <row r="129">
          <cell r="A129" t="str">
            <v>Always_OnEGSearch</v>
          </cell>
          <cell r="B129">
            <v>44977</v>
          </cell>
          <cell r="C129">
            <v>44977</v>
          </cell>
          <cell r="D129" t="str">
            <v>Always_On</v>
          </cell>
          <cell r="E129" t="str">
            <v>EG</v>
          </cell>
          <cell r="F129" t="str">
            <v>Search</v>
          </cell>
          <cell r="G129">
            <v>2767</v>
          </cell>
          <cell r="H129">
            <v>28476</v>
          </cell>
          <cell r="I129">
            <v>24395</v>
          </cell>
          <cell r="J129">
            <v>942</v>
          </cell>
        </row>
        <row r="130">
          <cell r="A130" t="str">
            <v>Always_OnUKYouTube</v>
          </cell>
          <cell r="B130">
            <v>44984</v>
          </cell>
          <cell r="C130">
            <v>44984</v>
          </cell>
          <cell r="D130" t="str">
            <v>Always_On</v>
          </cell>
          <cell r="E130" t="str">
            <v>UK</v>
          </cell>
          <cell r="F130" t="str">
            <v>YouTube</v>
          </cell>
          <cell r="G130">
            <v>4878</v>
          </cell>
          <cell r="H130">
            <v>413013</v>
          </cell>
          <cell r="I130">
            <v>147667</v>
          </cell>
          <cell r="J130">
            <v>149</v>
          </cell>
        </row>
        <row r="131">
          <cell r="A131" t="str">
            <v>Always_OnUKSocial</v>
          </cell>
          <cell r="B131">
            <v>44984</v>
          </cell>
          <cell r="C131">
            <v>44984</v>
          </cell>
          <cell r="D131" t="str">
            <v>Always_On</v>
          </cell>
          <cell r="E131" t="str">
            <v>UK</v>
          </cell>
          <cell r="F131" t="str">
            <v>Social</v>
          </cell>
          <cell r="G131">
            <v>4319</v>
          </cell>
          <cell r="H131">
            <v>265786</v>
          </cell>
          <cell r="I131">
            <v>110464</v>
          </cell>
          <cell r="J131">
            <v>135</v>
          </cell>
        </row>
        <row r="132">
          <cell r="A132" t="str">
            <v>Always_OnUKDisplay</v>
          </cell>
          <cell r="B132">
            <v>44984</v>
          </cell>
          <cell r="C132">
            <v>44984</v>
          </cell>
          <cell r="D132" t="str">
            <v>Always_On</v>
          </cell>
          <cell r="E132" t="str">
            <v>UK</v>
          </cell>
          <cell r="F132" t="str">
            <v>Display</v>
          </cell>
          <cell r="G132">
            <v>3366</v>
          </cell>
          <cell r="H132">
            <v>734606</v>
          </cell>
          <cell r="I132">
            <v>134269</v>
          </cell>
          <cell r="J132">
            <v>25</v>
          </cell>
        </row>
        <row r="133">
          <cell r="A133" t="str">
            <v>Always_OnUKSearch</v>
          </cell>
          <cell r="B133">
            <v>44984</v>
          </cell>
          <cell r="C133">
            <v>44984</v>
          </cell>
          <cell r="D133" t="str">
            <v>Always_On</v>
          </cell>
          <cell r="E133" t="str">
            <v>UK</v>
          </cell>
          <cell r="F133" t="str">
            <v>Search</v>
          </cell>
          <cell r="G133">
            <v>4100</v>
          </cell>
          <cell r="H133">
            <v>52242</v>
          </cell>
          <cell r="I133">
            <v>44006</v>
          </cell>
          <cell r="J133">
            <v>343</v>
          </cell>
        </row>
        <row r="134">
          <cell r="A134" t="str">
            <v>Always_OnDEYouTube</v>
          </cell>
          <cell r="B134">
            <v>44984</v>
          </cell>
          <cell r="C134">
            <v>44984</v>
          </cell>
          <cell r="D134" t="str">
            <v>Always_On</v>
          </cell>
          <cell r="E134" t="str">
            <v>DE</v>
          </cell>
          <cell r="F134" t="str">
            <v>YouTube</v>
          </cell>
          <cell r="G134">
            <v>6242</v>
          </cell>
          <cell r="H134">
            <v>443983</v>
          </cell>
          <cell r="I134">
            <v>220977</v>
          </cell>
          <cell r="J134">
            <v>207</v>
          </cell>
        </row>
        <row r="135">
          <cell r="A135" t="str">
            <v>Always_OnDESocial</v>
          </cell>
          <cell r="B135">
            <v>44984</v>
          </cell>
          <cell r="C135">
            <v>44984</v>
          </cell>
          <cell r="D135" t="str">
            <v>Always_On</v>
          </cell>
          <cell r="E135" t="str">
            <v>DE</v>
          </cell>
          <cell r="F135" t="str">
            <v>Social</v>
          </cell>
          <cell r="G135">
            <v>4637</v>
          </cell>
          <cell r="H135">
            <v>271534</v>
          </cell>
          <cell r="I135">
            <v>104589</v>
          </cell>
          <cell r="J135">
            <v>142</v>
          </cell>
        </row>
        <row r="136">
          <cell r="A136" t="str">
            <v>Always_OnDEDisplay</v>
          </cell>
          <cell r="B136">
            <v>44984</v>
          </cell>
          <cell r="C136">
            <v>44984</v>
          </cell>
          <cell r="D136" t="str">
            <v>Always_On</v>
          </cell>
          <cell r="E136" t="str">
            <v>DE</v>
          </cell>
          <cell r="F136" t="str">
            <v>Display</v>
          </cell>
          <cell r="G136">
            <v>2983</v>
          </cell>
          <cell r="H136">
            <v>859463</v>
          </cell>
          <cell r="I136">
            <v>188966</v>
          </cell>
          <cell r="J136">
            <v>27</v>
          </cell>
        </row>
        <row r="137">
          <cell r="A137" t="str">
            <v>Always_OnDESearch</v>
          </cell>
          <cell r="B137">
            <v>44984</v>
          </cell>
          <cell r="C137">
            <v>44984</v>
          </cell>
          <cell r="D137" t="str">
            <v>Always_On</v>
          </cell>
          <cell r="E137" t="str">
            <v>DE</v>
          </cell>
          <cell r="F137" t="str">
            <v>Search</v>
          </cell>
          <cell r="G137">
            <v>4125</v>
          </cell>
          <cell r="H137">
            <v>44751</v>
          </cell>
          <cell r="I137">
            <v>39358</v>
          </cell>
          <cell r="J137">
            <v>371</v>
          </cell>
        </row>
        <row r="138">
          <cell r="A138" t="str">
            <v>Always_OnSAYouTube</v>
          </cell>
          <cell r="B138">
            <v>44984</v>
          </cell>
          <cell r="C138">
            <v>44984</v>
          </cell>
          <cell r="D138" t="str">
            <v>Always_On</v>
          </cell>
          <cell r="E138" t="str">
            <v>SA</v>
          </cell>
          <cell r="F138" t="str">
            <v>YouTube</v>
          </cell>
          <cell r="G138">
            <v>3091</v>
          </cell>
          <cell r="H138">
            <v>218914</v>
          </cell>
          <cell r="I138">
            <v>95455</v>
          </cell>
          <cell r="J138">
            <v>353</v>
          </cell>
        </row>
        <row r="139">
          <cell r="A139" t="str">
            <v>Always_OnSASocial</v>
          </cell>
          <cell r="B139">
            <v>44984</v>
          </cell>
          <cell r="C139">
            <v>44984</v>
          </cell>
          <cell r="D139" t="str">
            <v>Always_On</v>
          </cell>
          <cell r="E139" t="str">
            <v>SA</v>
          </cell>
          <cell r="F139" t="str">
            <v>Social</v>
          </cell>
          <cell r="G139">
            <v>4092</v>
          </cell>
          <cell r="H139">
            <v>215207</v>
          </cell>
          <cell r="I139">
            <v>102733</v>
          </cell>
          <cell r="J139">
            <v>507</v>
          </cell>
        </row>
        <row r="140">
          <cell r="A140" t="str">
            <v>Always_OnSADisplay</v>
          </cell>
          <cell r="B140">
            <v>44984</v>
          </cell>
          <cell r="C140">
            <v>44984</v>
          </cell>
          <cell r="D140" t="str">
            <v>Always_On</v>
          </cell>
          <cell r="E140" t="str">
            <v>SA</v>
          </cell>
          <cell r="F140" t="str">
            <v>Display</v>
          </cell>
          <cell r="G140">
            <v>1276</v>
          </cell>
          <cell r="H140">
            <v>343516</v>
          </cell>
          <cell r="I140">
            <v>73842</v>
          </cell>
          <cell r="J140">
            <v>41</v>
          </cell>
        </row>
        <row r="141">
          <cell r="A141" t="str">
            <v>Always_OnSASearch</v>
          </cell>
          <cell r="B141">
            <v>44984</v>
          </cell>
          <cell r="C141">
            <v>44984</v>
          </cell>
          <cell r="D141" t="str">
            <v>Always_On</v>
          </cell>
          <cell r="E141" t="str">
            <v>SA</v>
          </cell>
          <cell r="F141" t="str">
            <v>Search</v>
          </cell>
          <cell r="G141">
            <v>2096</v>
          </cell>
          <cell r="H141">
            <v>23428</v>
          </cell>
          <cell r="I141">
            <v>19966</v>
          </cell>
          <cell r="J141">
            <v>702</v>
          </cell>
        </row>
        <row r="142">
          <cell r="A142" t="str">
            <v>Always_OnEGYouTube</v>
          </cell>
          <cell r="B142">
            <v>44984</v>
          </cell>
          <cell r="C142">
            <v>44984</v>
          </cell>
          <cell r="D142" t="str">
            <v>Always_On</v>
          </cell>
          <cell r="E142" t="str">
            <v>EG</v>
          </cell>
          <cell r="F142" t="str">
            <v>YouTube</v>
          </cell>
          <cell r="G142">
            <v>3448</v>
          </cell>
          <cell r="H142">
            <v>208527</v>
          </cell>
          <cell r="I142">
            <v>78362</v>
          </cell>
          <cell r="J142">
            <v>430</v>
          </cell>
        </row>
        <row r="143">
          <cell r="A143" t="str">
            <v>Always_OnEGSocial</v>
          </cell>
          <cell r="B143">
            <v>44984</v>
          </cell>
          <cell r="C143">
            <v>44984</v>
          </cell>
          <cell r="D143" t="str">
            <v>Always_On</v>
          </cell>
          <cell r="E143" t="str">
            <v>EG</v>
          </cell>
          <cell r="F143" t="str">
            <v>Social</v>
          </cell>
          <cell r="G143">
            <v>3711</v>
          </cell>
          <cell r="H143">
            <v>299345</v>
          </cell>
          <cell r="I143">
            <v>121416</v>
          </cell>
          <cell r="J143">
            <v>435</v>
          </cell>
        </row>
        <row r="144">
          <cell r="A144" t="str">
            <v>Always_OnEGDisplay</v>
          </cell>
          <cell r="B144">
            <v>44984</v>
          </cell>
          <cell r="C144">
            <v>44984</v>
          </cell>
          <cell r="D144" t="str">
            <v>Always_On</v>
          </cell>
          <cell r="E144" t="str">
            <v>EG</v>
          </cell>
          <cell r="F144" t="str">
            <v>Display</v>
          </cell>
          <cell r="G144">
            <v>2416</v>
          </cell>
          <cell r="H144">
            <v>503315</v>
          </cell>
          <cell r="I144">
            <v>100964</v>
          </cell>
          <cell r="J144">
            <v>81</v>
          </cell>
        </row>
        <row r="145">
          <cell r="A145" t="str">
            <v>Always_OnEGSearch</v>
          </cell>
          <cell r="B145">
            <v>44984</v>
          </cell>
          <cell r="C145">
            <v>44984</v>
          </cell>
          <cell r="D145" t="str">
            <v>Always_On</v>
          </cell>
          <cell r="E145" t="str">
            <v>EG</v>
          </cell>
          <cell r="F145" t="str">
            <v>Search</v>
          </cell>
          <cell r="G145">
            <v>3040</v>
          </cell>
          <cell r="H145">
            <v>41999</v>
          </cell>
          <cell r="I145">
            <v>37737</v>
          </cell>
          <cell r="J145">
            <v>927</v>
          </cell>
        </row>
        <row r="146">
          <cell r="A146" t="str">
            <v>Always_OnUKYouTube</v>
          </cell>
          <cell r="B146">
            <v>44991</v>
          </cell>
          <cell r="C146">
            <v>44991</v>
          </cell>
          <cell r="D146" t="str">
            <v>Always_On</v>
          </cell>
          <cell r="E146" t="str">
            <v>UK</v>
          </cell>
          <cell r="F146" t="str">
            <v>YouTube</v>
          </cell>
          <cell r="G146">
            <v>5774</v>
          </cell>
          <cell r="H146">
            <v>406324</v>
          </cell>
          <cell r="I146">
            <v>138576</v>
          </cell>
          <cell r="J146">
            <v>191</v>
          </cell>
        </row>
        <row r="147">
          <cell r="A147" t="str">
            <v>Always_OnUKSocial</v>
          </cell>
          <cell r="B147">
            <v>44991</v>
          </cell>
          <cell r="C147">
            <v>44991</v>
          </cell>
          <cell r="D147" t="str">
            <v>Always_On</v>
          </cell>
          <cell r="E147" t="str">
            <v>UK</v>
          </cell>
          <cell r="F147" t="str">
            <v>Social</v>
          </cell>
          <cell r="G147">
            <v>3128</v>
          </cell>
          <cell r="H147">
            <v>251177</v>
          </cell>
          <cell r="I147">
            <v>97186</v>
          </cell>
          <cell r="J147">
            <v>97</v>
          </cell>
        </row>
        <row r="148">
          <cell r="A148" t="str">
            <v>Always_OnUKDisplay</v>
          </cell>
          <cell r="B148">
            <v>44991</v>
          </cell>
          <cell r="C148">
            <v>44991</v>
          </cell>
          <cell r="D148" t="str">
            <v>Always_On</v>
          </cell>
          <cell r="E148" t="str">
            <v>UK</v>
          </cell>
          <cell r="F148" t="str">
            <v>Display</v>
          </cell>
          <cell r="G148">
            <v>2472</v>
          </cell>
          <cell r="H148">
            <v>663262</v>
          </cell>
          <cell r="I148">
            <v>138664</v>
          </cell>
          <cell r="J148">
            <v>18</v>
          </cell>
        </row>
        <row r="149">
          <cell r="A149" t="str">
            <v>Always_OnUKSearch</v>
          </cell>
          <cell r="B149">
            <v>44991</v>
          </cell>
          <cell r="C149">
            <v>44991</v>
          </cell>
          <cell r="D149" t="str">
            <v>Always_On</v>
          </cell>
          <cell r="E149" t="str">
            <v>UK</v>
          </cell>
          <cell r="F149" t="str">
            <v>Search</v>
          </cell>
          <cell r="G149">
            <v>5393</v>
          </cell>
          <cell r="H149">
            <v>70844</v>
          </cell>
          <cell r="I149">
            <v>60044</v>
          </cell>
          <cell r="J149">
            <v>497</v>
          </cell>
        </row>
        <row r="150">
          <cell r="A150" t="str">
            <v>Always_OnDEYouTube</v>
          </cell>
          <cell r="B150">
            <v>44991</v>
          </cell>
          <cell r="C150">
            <v>44991</v>
          </cell>
          <cell r="D150" t="str">
            <v>Always_On</v>
          </cell>
          <cell r="E150" t="str">
            <v>DE</v>
          </cell>
          <cell r="F150" t="str">
            <v>YouTube</v>
          </cell>
          <cell r="G150">
            <v>4959</v>
          </cell>
          <cell r="H150">
            <v>294358</v>
          </cell>
          <cell r="I150">
            <v>130684</v>
          </cell>
          <cell r="J150">
            <v>161</v>
          </cell>
        </row>
        <row r="151">
          <cell r="A151" t="str">
            <v>Always_OnDESocial</v>
          </cell>
          <cell r="B151">
            <v>44991</v>
          </cell>
          <cell r="C151">
            <v>44991</v>
          </cell>
          <cell r="D151" t="str">
            <v>Always_On</v>
          </cell>
          <cell r="E151" t="str">
            <v>DE</v>
          </cell>
          <cell r="F151" t="str">
            <v>Social</v>
          </cell>
          <cell r="G151">
            <v>5879</v>
          </cell>
          <cell r="H151">
            <v>383106</v>
          </cell>
          <cell r="I151">
            <v>152278</v>
          </cell>
          <cell r="J151">
            <v>199</v>
          </cell>
        </row>
        <row r="152">
          <cell r="A152" t="str">
            <v>Always_OnDEDisplay</v>
          </cell>
          <cell r="B152">
            <v>44991</v>
          </cell>
          <cell r="C152">
            <v>44991</v>
          </cell>
          <cell r="D152" t="str">
            <v>Always_On</v>
          </cell>
          <cell r="E152" t="str">
            <v>DE</v>
          </cell>
          <cell r="F152" t="str">
            <v>Display</v>
          </cell>
          <cell r="G152">
            <v>1978</v>
          </cell>
          <cell r="H152">
            <v>422659</v>
          </cell>
          <cell r="I152">
            <v>88983</v>
          </cell>
          <cell r="J152">
            <v>15</v>
          </cell>
        </row>
        <row r="153">
          <cell r="A153" t="str">
            <v>Always_OnDESearch</v>
          </cell>
          <cell r="B153">
            <v>44991</v>
          </cell>
          <cell r="C153">
            <v>44991</v>
          </cell>
          <cell r="D153" t="str">
            <v>Always_On</v>
          </cell>
          <cell r="E153" t="str">
            <v>DE</v>
          </cell>
          <cell r="F153" t="str">
            <v>Search</v>
          </cell>
          <cell r="G153">
            <v>5461</v>
          </cell>
          <cell r="H153">
            <v>77963</v>
          </cell>
          <cell r="I153">
            <v>66128</v>
          </cell>
          <cell r="J153">
            <v>476</v>
          </cell>
        </row>
        <row r="154">
          <cell r="A154" t="str">
            <v>Always_OnSAYouTube</v>
          </cell>
          <cell r="B154">
            <v>44991</v>
          </cell>
          <cell r="C154">
            <v>44991</v>
          </cell>
          <cell r="D154" t="str">
            <v>Always_On</v>
          </cell>
          <cell r="E154" t="str">
            <v>SA</v>
          </cell>
          <cell r="F154" t="str">
            <v>YouTube</v>
          </cell>
          <cell r="G154">
            <v>2558</v>
          </cell>
          <cell r="H154">
            <v>197622</v>
          </cell>
          <cell r="I154">
            <v>92235</v>
          </cell>
          <cell r="J154">
            <v>330</v>
          </cell>
        </row>
        <row r="155">
          <cell r="A155" t="str">
            <v>Always_OnSASocial</v>
          </cell>
          <cell r="B155">
            <v>44991</v>
          </cell>
          <cell r="C155">
            <v>44991</v>
          </cell>
          <cell r="D155" t="str">
            <v>Always_On</v>
          </cell>
          <cell r="E155" t="str">
            <v>SA</v>
          </cell>
          <cell r="F155" t="str">
            <v>Social</v>
          </cell>
          <cell r="G155">
            <v>2081</v>
          </cell>
          <cell r="H155">
            <v>139120</v>
          </cell>
          <cell r="I155">
            <v>65611</v>
          </cell>
          <cell r="J155">
            <v>283</v>
          </cell>
        </row>
        <row r="156">
          <cell r="A156" t="str">
            <v>Always_OnSADisplay</v>
          </cell>
          <cell r="B156">
            <v>44991</v>
          </cell>
          <cell r="C156">
            <v>44991</v>
          </cell>
          <cell r="D156" t="str">
            <v>Always_On</v>
          </cell>
          <cell r="E156" t="str">
            <v>SA</v>
          </cell>
          <cell r="F156" t="str">
            <v>Display</v>
          </cell>
          <cell r="G156">
            <v>1744</v>
          </cell>
          <cell r="H156">
            <v>518085</v>
          </cell>
          <cell r="I156">
            <v>87420</v>
          </cell>
          <cell r="J156">
            <v>55</v>
          </cell>
        </row>
        <row r="157">
          <cell r="A157" t="str">
            <v>Always_OnSASearch</v>
          </cell>
          <cell r="B157">
            <v>44991</v>
          </cell>
          <cell r="C157">
            <v>44991</v>
          </cell>
          <cell r="D157" t="str">
            <v>Always_On</v>
          </cell>
          <cell r="E157" t="str">
            <v>SA</v>
          </cell>
          <cell r="F157" t="str">
            <v>Search</v>
          </cell>
          <cell r="G157">
            <v>2799</v>
          </cell>
          <cell r="H157">
            <v>38982</v>
          </cell>
          <cell r="I157">
            <v>34451</v>
          </cell>
          <cell r="J157">
            <v>945</v>
          </cell>
        </row>
        <row r="158">
          <cell r="A158" t="str">
            <v>Always_OnEGYouTube</v>
          </cell>
          <cell r="B158">
            <v>44991</v>
          </cell>
          <cell r="C158">
            <v>44991</v>
          </cell>
          <cell r="D158" t="str">
            <v>Always_On</v>
          </cell>
          <cell r="E158" t="str">
            <v>EG</v>
          </cell>
          <cell r="F158" t="str">
            <v>YouTube</v>
          </cell>
          <cell r="G158">
            <v>3350</v>
          </cell>
          <cell r="H158">
            <v>237829</v>
          </cell>
          <cell r="I158">
            <v>80085</v>
          </cell>
          <cell r="J158">
            <v>417</v>
          </cell>
        </row>
        <row r="159">
          <cell r="A159" t="str">
            <v>Always_OnEGSocial</v>
          </cell>
          <cell r="B159">
            <v>44991</v>
          </cell>
          <cell r="C159">
            <v>44991</v>
          </cell>
          <cell r="D159" t="str">
            <v>Always_On</v>
          </cell>
          <cell r="E159" t="str">
            <v>EG</v>
          </cell>
          <cell r="F159" t="str">
            <v>Social</v>
          </cell>
          <cell r="G159">
            <v>2371</v>
          </cell>
          <cell r="H159">
            <v>210913</v>
          </cell>
          <cell r="I159">
            <v>86739</v>
          </cell>
          <cell r="J159">
            <v>272</v>
          </cell>
        </row>
        <row r="160">
          <cell r="A160" t="str">
            <v>Always_OnEGDisplay</v>
          </cell>
          <cell r="B160">
            <v>44991</v>
          </cell>
          <cell r="C160">
            <v>44991</v>
          </cell>
          <cell r="D160" t="str">
            <v>Always_On</v>
          </cell>
          <cell r="E160" t="str">
            <v>EG</v>
          </cell>
          <cell r="F160" t="str">
            <v>Display</v>
          </cell>
          <cell r="G160">
            <v>1570</v>
          </cell>
          <cell r="H160">
            <v>439117</v>
          </cell>
          <cell r="I160">
            <v>77795</v>
          </cell>
          <cell r="J160">
            <v>48</v>
          </cell>
        </row>
        <row r="161">
          <cell r="A161" t="str">
            <v>Always_OnEGSearch</v>
          </cell>
          <cell r="B161">
            <v>44991</v>
          </cell>
          <cell r="C161">
            <v>44991</v>
          </cell>
          <cell r="D161" t="str">
            <v>Always_On</v>
          </cell>
          <cell r="E161" t="str">
            <v>EG</v>
          </cell>
          <cell r="F161" t="str">
            <v>Search</v>
          </cell>
          <cell r="G161">
            <v>2739</v>
          </cell>
          <cell r="H161">
            <v>39864</v>
          </cell>
          <cell r="I161">
            <v>33341</v>
          </cell>
          <cell r="J161">
            <v>840</v>
          </cell>
        </row>
        <row r="162">
          <cell r="A162" t="str">
            <v>Always_OnUKYouTube</v>
          </cell>
          <cell r="B162">
            <v>44998</v>
          </cell>
          <cell r="C162">
            <v>44998</v>
          </cell>
          <cell r="D162" t="str">
            <v>Always_On</v>
          </cell>
          <cell r="E162" t="str">
            <v>UK</v>
          </cell>
          <cell r="F162" t="str">
            <v>YouTube</v>
          </cell>
          <cell r="G162">
            <v>7009</v>
          </cell>
          <cell r="H162">
            <v>615264</v>
          </cell>
          <cell r="I162">
            <v>259388</v>
          </cell>
          <cell r="J162">
            <v>243</v>
          </cell>
        </row>
        <row r="163">
          <cell r="A163" t="str">
            <v>Always_OnUKSocial</v>
          </cell>
          <cell r="B163">
            <v>44998</v>
          </cell>
          <cell r="C163">
            <v>44998</v>
          </cell>
          <cell r="D163" t="str">
            <v>Always_On</v>
          </cell>
          <cell r="E163" t="str">
            <v>UK</v>
          </cell>
          <cell r="F163" t="str">
            <v>Social</v>
          </cell>
          <cell r="G163">
            <v>4193</v>
          </cell>
          <cell r="H163">
            <v>243574</v>
          </cell>
          <cell r="I163">
            <v>91859</v>
          </cell>
          <cell r="J163">
            <v>129</v>
          </cell>
        </row>
        <row r="164">
          <cell r="A164" t="str">
            <v>Always_OnUKDisplay</v>
          </cell>
          <cell r="B164">
            <v>44998</v>
          </cell>
          <cell r="C164">
            <v>44998</v>
          </cell>
          <cell r="D164" t="str">
            <v>Always_On</v>
          </cell>
          <cell r="E164" t="str">
            <v>UK</v>
          </cell>
          <cell r="F164" t="str">
            <v>Display</v>
          </cell>
          <cell r="G164">
            <v>3998</v>
          </cell>
          <cell r="H164">
            <v>1106740</v>
          </cell>
          <cell r="I164">
            <v>271869</v>
          </cell>
          <cell r="J164">
            <v>32</v>
          </cell>
        </row>
        <row r="165">
          <cell r="A165" t="str">
            <v>Always_OnUKSearch</v>
          </cell>
          <cell r="B165">
            <v>44998</v>
          </cell>
          <cell r="C165">
            <v>44998</v>
          </cell>
          <cell r="D165" t="str">
            <v>Always_On</v>
          </cell>
          <cell r="E165" t="str">
            <v>UK</v>
          </cell>
          <cell r="F165" t="str">
            <v>Search</v>
          </cell>
          <cell r="G165">
            <v>3428</v>
          </cell>
          <cell r="H165">
            <v>41234</v>
          </cell>
          <cell r="I165">
            <v>34840</v>
          </cell>
          <cell r="J165">
            <v>289</v>
          </cell>
        </row>
        <row r="166">
          <cell r="A166" t="str">
            <v>Always_OnDEYouTube</v>
          </cell>
          <cell r="B166">
            <v>44998</v>
          </cell>
          <cell r="C166">
            <v>44998</v>
          </cell>
          <cell r="D166" t="str">
            <v>Always_On</v>
          </cell>
          <cell r="E166" t="str">
            <v>DE</v>
          </cell>
          <cell r="F166" t="str">
            <v>YouTube</v>
          </cell>
          <cell r="G166">
            <v>7381</v>
          </cell>
          <cell r="H166">
            <v>624439</v>
          </cell>
          <cell r="I166">
            <v>222443</v>
          </cell>
          <cell r="J166">
            <v>265</v>
          </cell>
        </row>
        <row r="167">
          <cell r="A167" t="str">
            <v>Always_OnDESocial</v>
          </cell>
          <cell r="B167">
            <v>44998</v>
          </cell>
          <cell r="C167">
            <v>44998</v>
          </cell>
          <cell r="D167" t="str">
            <v>Always_On</v>
          </cell>
          <cell r="E167" t="str">
            <v>DE</v>
          </cell>
          <cell r="F167" t="str">
            <v>Social</v>
          </cell>
          <cell r="G167">
            <v>4556</v>
          </cell>
          <cell r="H167">
            <v>323230</v>
          </cell>
          <cell r="I167">
            <v>140820</v>
          </cell>
          <cell r="J167">
            <v>157</v>
          </cell>
        </row>
        <row r="168">
          <cell r="A168" t="str">
            <v>Always_OnDEDisplay</v>
          </cell>
          <cell r="B168">
            <v>44998</v>
          </cell>
          <cell r="C168">
            <v>44998</v>
          </cell>
          <cell r="D168" t="str">
            <v>Always_On</v>
          </cell>
          <cell r="E168" t="str">
            <v>DE</v>
          </cell>
          <cell r="F168" t="str">
            <v>Display</v>
          </cell>
          <cell r="G168">
            <v>3216</v>
          </cell>
          <cell r="H168">
            <v>818630</v>
          </cell>
          <cell r="I168">
            <v>183738</v>
          </cell>
          <cell r="J168">
            <v>29</v>
          </cell>
        </row>
        <row r="169">
          <cell r="A169" t="str">
            <v>Always_OnDESearch</v>
          </cell>
          <cell r="B169">
            <v>44998</v>
          </cell>
          <cell r="C169">
            <v>44998</v>
          </cell>
          <cell r="D169" t="str">
            <v>Always_On</v>
          </cell>
          <cell r="E169" t="str">
            <v>DE</v>
          </cell>
          <cell r="F169" t="str">
            <v>Search</v>
          </cell>
          <cell r="G169">
            <v>6915</v>
          </cell>
          <cell r="H169">
            <v>92222</v>
          </cell>
          <cell r="I169">
            <v>81073</v>
          </cell>
          <cell r="J169">
            <v>610</v>
          </cell>
        </row>
        <row r="170">
          <cell r="A170" t="str">
            <v>Always_OnSAYouTube</v>
          </cell>
          <cell r="B170">
            <v>44998</v>
          </cell>
          <cell r="C170">
            <v>44998</v>
          </cell>
          <cell r="D170" t="str">
            <v>Always_On</v>
          </cell>
          <cell r="E170" t="str">
            <v>SA</v>
          </cell>
          <cell r="F170" t="str">
            <v>YouTube</v>
          </cell>
          <cell r="G170">
            <v>1989</v>
          </cell>
          <cell r="H170">
            <v>121151</v>
          </cell>
          <cell r="I170">
            <v>41722</v>
          </cell>
          <cell r="J170">
            <v>260</v>
          </cell>
        </row>
        <row r="171">
          <cell r="A171" t="str">
            <v>Always_OnSASocial</v>
          </cell>
          <cell r="B171">
            <v>44998</v>
          </cell>
          <cell r="C171">
            <v>44998</v>
          </cell>
          <cell r="D171" t="str">
            <v>Always_On</v>
          </cell>
          <cell r="E171" t="str">
            <v>SA</v>
          </cell>
          <cell r="F171" t="str">
            <v>Social</v>
          </cell>
          <cell r="G171">
            <v>2464</v>
          </cell>
          <cell r="H171">
            <v>166600</v>
          </cell>
          <cell r="I171">
            <v>79124</v>
          </cell>
          <cell r="J171">
            <v>325</v>
          </cell>
        </row>
        <row r="172">
          <cell r="A172" t="str">
            <v>Always_OnSADisplay</v>
          </cell>
          <cell r="B172">
            <v>44998</v>
          </cell>
          <cell r="C172">
            <v>44998</v>
          </cell>
          <cell r="D172" t="str">
            <v>Always_On</v>
          </cell>
          <cell r="E172" t="str">
            <v>SA</v>
          </cell>
          <cell r="F172" t="str">
            <v>Display</v>
          </cell>
          <cell r="G172">
            <v>1574</v>
          </cell>
          <cell r="H172">
            <v>424873</v>
          </cell>
          <cell r="I172">
            <v>74111</v>
          </cell>
          <cell r="J172">
            <v>51</v>
          </cell>
        </row>
        <row r="173">
          <cell r="A173" t="str">
            <v>Always_OnSASearch</v>
          </cell>
          <cell r="B173">
            <v>44998</v>
          </cell>
          <cell r="C173">
            <v>44998</v>
          </cell>
          <cell r="D173" t="str">
            <v>Always_On</v>
          </cell>
          <cell r="E173" t="str">
            <v>SA</v>
          </cell>
          <cell r="F173" t="str">
            <v>Search</v>
          </cell>
          <cell r="G173">
            <v>3800</v>
          </cell>
          <cell r="H173">
            <v>49768</v>
          </cell>
          <cell r="I173">
            <v>42568</v>
          </cell>
          <cell r="J173">
            <v>1199</v>
          </cell>
        </row>
        <row r="174">
          <cell r="A174" t="str">
            <v>Always_OnEGYouTube</v>
          </cell>
          <cell r="B174">
            <v>44998</v>
          </cell>
          <cell r="C174">
            <v>44998</v>
          </cell>
          <cell r="D174" t="str">
            <v>Always_On</v>
          </cell>
          <cell r="E174" t="str">
            <v>EG</v>
          </cell>
          <cell r="F174" t="str">
            <v>YouTube</v>
          </cell>
          <cell r="G174">
            <v>4806</v>
          </cell>
          <cell r="H174">
            <v>408924</v>
          </cell>
          <cell r="I174">
            <v>199066</v>
          </cell>
          <cell r="J174">
            <v>579</v>
          </cell>
        </row>
        <row r="175">
          <cell r="A175" t="str">
            <v>Always_OnEGSocial</v>
          </cell>
          <cell r="B175">
            <v>44998</v>
          </cell>
          <cell r="C175">
            <v>44998</v>
          </cell>
          <cell r="D175" t="str">
            <v>Always_On</v>
          </cell>
          <cell r="E175" t="str">
            <v>EG</v>
          </cell>
          <cell r="F175" t="str">
            <v>Social</v>
          </cell>
          <cell r="G175">
            <v>2565</v>
          </cell>
          <cell r="H175">
            <v>167770</v>
          </cell>
          <cell r="I175">
            <v>77659</v>
          </cell>
          <cell r="J175">
            <v>337</v>
          </cell>
        </row>
        <row r="176">
          <cell r="A176" t="str">
            <v>Always_OnEGDisplay</v>
          </cell>
          <cell r="B176">
            <v>44998</v>
          </cell>
          <cell r="C176">
            <v>44998</v>
          </cell>
          <cell r="D176" t="str">
            <v>Always_On</v>
          </cell>
          <cell r="E176" t="str">
            <v>EG</v>
          </cell>
          <cell r="F176" t="str">
            <v>Display</v>
          </cell>
          <cell r="G176">
            <v>2372</v>
          </cell>
          <cell r="H176">
            <v>583820</v>
          </cell>
          <cell r="I176">
            <v>114485</v>
          </cell>
          <cell r="J176">
            <v>69</v>
          </cell>
        </row>
        <row r="177">
          <cell r="A177" t="str">
            <v>Always_OnEGSearch</v>
          </cell>
          <cell r="B177">
            <v>44998</v>
          </cell>
          <cell r="C177">
            <v>44998</v>
          </cell>
          <cell r="D177" t="str">
            <v>Always_On</v>
          </cell>
          <cell r="E177" t="str">
            <v>EG</v>
          </cell>
          <cell r="F177" t="str">
            <v>Search</v>
          </cell>
          <cell r="G177">
            <v>4053</v>
          </cell>
          <cell r="H177">
            <v>47080</v>
          </cell>
          <cell r="I177">
            <v>42287</v>
          </cell>
          <cell r="J177">
            <v>1177</v>
          </cell>
        </row>
        <row r="178">
          <cell r="A178" t="str">
            <v>Always_OnUKYouTube</v>
          </cell>
          <cell r="B178">
            <v>45005</v>
          </cell>
          <cell r="C178">
            <v>45005</v>
          </cell>
          <cell r="D178" t="str">
            <v>Always_On</v>
          </cell>
          <cell r="E178" t="str">
            <v>UK</v>
          </cell>
          <cell r="F178" t="str">
            <v>YouTube</v>
          </cell>
          <cell r="G178">
            <v>6630</v>
          </cell>
          <cell r="H178">
            <v>502565</v>
          </cell>
          <cell r="I178">
            <v>217974</v>
          </cell>
          <cell r="J178">
            <v>225</v>
          </cell>
        </row>
        <row r="179">
          <cell r="A179" t="str">
            <v>Always_OnUKSocial</v>
          </cell>
          <cell r="B179">
            <v>45005</v>
          </cell>
          <cell r="C179">
            <v>45005</v>
          </cell>
          <cell r="D179" t="str">
            <v>Always_On</v>
          </cell>
          <cell r="E179" t="str">
            <v>UK</v>
          </cell>
          <cell r="F179" t="str">
            <v>Social</v>
          </cell>
          <cell r="G179">
            <v>5540</v>
          </cell>
          <cell r="H179">
            <v>415702</v>
          </cell>
          <cell r="I179">
            <v>143162</v>
          </cell>
          <cell r="J179">
            <v>196</v>
          </cell>
        </row>
        <row r="180">
          <cell r="A180" t="str">
            <v>Always_OnUKDisplay</v>
          </cell>
          <cell r="B180">
            <v>45005</v>
          </cell>
          <cell r="C180">
            <v>45005</v>
          </cell>
          <cell r="D180" t="str">
            <v>Always_On</v>
          </cell>
          <cell r="E180" t="str">
            <v>UK</v>
          </cell>
          <cell r="F180" t="str">
            <v>Display</v>
          </cell>
          <cell r="G180">
            <v>2432</v>
          </cell>
          <cell r="H180">
            <v>551161</v>
          </cell>
          <cell r="I180">
            <v>118282</v>
          </cell>
          <cell r="J180">
            <v>21</v>
          </cell>
        </row>
        <row r="181">
          <cell r="A181" t="str">
            <v>Always_OnUKSearch</v>
          </cell>
          <cell r="B181">
            <v>45005</v>
          </cell>
          <cell r="C181">
            <v>45005</v>
          </cell>
          <cell r="D181" t="str">
            <v>Always_On</v>
          </cell>
          <cell r="E181" t="str">
            <v>UK</v>
          </cell>
          <cell r="F181" t="str">
            <v>Search</v>
          </cell>
          <cell r="G181">
            <v>4733</v>
          </cell>
          <cell r="H181">
            <v>53100</v>
          </cell>
          <cell r="I181">
            <v>45687</v>
          </cell>
          <cell r="J181">
            <v>371</v>
          </cell>
        </row>
        <row r="182">
          <cell r="A182" t="str">
            <v>Always_OnDEYouTube</v>
          </cell>
          <cell r="B182">
            <v>45005</v>
          </cell>
          <cell r="C182">
            <v>45005</v>
          </cell>
          <cell r="D182" t="str">
            <v>Always_On</v>
          </cell>
          <cell r="E182" t="str">
            <v>DE</v>
          </cell>
          <cell r="F182" t="str">
            <v>YouTube</v>
          </cell>
          <cell r="G182">
            <v>2909</v>
          </cell>
          <cell r="H182">
            <v>203323</v>
          </cell>
          <cell r="I182">
            <v>84498</v>
          </cell>
          <cell r="J182">
            <v>103</v>
          </cell>
        </row>
        <row r="183">
          <cell r="A183" t="str">
            <v>Always_OnDESocial</v>
          </cell>
          <cell r="B183">
            <v>45005</v>
          </cell>
          <cell r="C183">
            <v>45005</v>
          </cell>
          <cell r="D183" t="str">
            <v>Always_On</v>
          </cell>
          <cell r="E183" t="str">
            <v>DE</v>
          </cell>
          <cell r="F183" t="str">
            <v>Social</v>
          </cell>
          <cell r="G183">
            <v>5154</v>
          </cell>
          <cell r="H183">
            <v>356491</v>
          </cell>
          <cell r="I183">
            <v>140288</v>
          </cell>
          <cell r="J183">
            <v>167</v>
          </cell>
        </row>
        <row r="184">
          <cell r="A184" t="str">
            <v>Always_OnDEDisplay</v>
          </cell>
          <cell r="B184">
            <v>45005</v>
          </cell>
          <cell r="C184">
            <v>45005</v>
          </cell>
          <cell r="D184" t="str">
            <v>Always_On</v>
          </cell>
          <cell r="E184" t="str">
            <v>DE</v>
          </cell>
          <cell r="F184" t="str">
            <v>Display</v>
          </cell>
          <cell r="G184">
            <v>3188</v>
          </cell>
          <cell r="H184">
            <v>788785</v>
          </cell>
          <cell r="I184">
            <v>135327</v>
          </cell>
          <cell r="J184">
            <v>24</v>
          </cell>
        </row>
        <row r="185">
          <cell r="A185" t="str">
            <v>Always_OnDESearch</v>
          </cell>
          <cell r="B185">
            <v>45005</v>
          </cell>
          <cell r="C185">
            <v>45005</v>
          </cell>
          <cell r="D185" t="str">
            <v>Always_On</v>
          </cell>
          <cell r="E185" t="str">
            <v>DE</v>
          </cell>
          <cell r="F185" t="str">
            <v>Search</v>
          </cell>
          <cell r="G185">
            <v>6510</v>
          </cell>
          <cell r="H185">
            <v>91077</v>
          </cell>
          <cell r="I185">
            <v>77273</v>
          </cell>
          <cell r="J185">
            <v>516</v>
          </cell>
        </row>
        <row r="186">
          <cell r="A186" t="str">
            <v>Always_OnSAYouTube</v>
          </cell>
          <cell r="B186">
            <v>45005</v>
          </cell>
          <cell r="C186">
            <v>45005</v>
          </cell>
          <cell r="D186" t="str">
            <v>Always_On</v>
          </cell>
          <cell r="E186" t="str">
            <v>SA</v>
          </cell>
          <cell r="F186" t="str">
            <v>YouTube</v>
          </cell>
          <cell r="G186">
            <v>3141</v>
          </cell>
          <cell r="H186">
            <v>177610</v>
          </cell>
          <cell r="I186">
            <v>64041</v>
          </cell>
          <cell r="J186">
            <v>393</v>
          </cell>
        </row>
        <row r="187">
          <cell r="A187" t="str">
            <v>Always_OnSASocial</v>
          </cell>
          <cell r="B187">
            <v>45005</v>
          </cell>
          <cell r="C187">
            <v>45005</v>
          </cell>
          <cell r="D187" t="str">
            <v>Always_On</v>
          </cell>
          <cell r="E187" t="str">
            <v>SA</v>
          </cell>
          <cell r="F187" t="str">
            <v>Social</v>
          </cell>
          <cell r="G187">
            <v>3845</v>
          </cell>
          <cell r="H187">
            <v>202174</v>
          </cell>
          <cell r="I187">
            <v>97655</v>
          </cell>
          <cell r="J187">
            <v>468</v>
          </cell>
        </row>
        <row r="188">
          <cell r="A188" t="str">
            <v>Always_OnSADisplay</v>
          </cell>
          <cell r="B188">
            <v>45005</v>
          </cell>
          <cell r="C188">
            <v>45005</v>
          </cell>
          <cell r="D188" t="str">
            <v>Always_On</v>
          </cell>
          <cell r="E188" t="str">
            <v>SA</v>
          </cell>
          <cell r="F188" t="str">
            <v>Display</v>
          </cell>
          <cell r="G188">
            <v>2091</v>
          </cell>
          <cell r="H188">
            <v>437223</v>
          </cell>
          <cell r="I188">
            <v>72994</v>
          </cell>
          <cell r="J188">
            <v>59</v>
          </cell>
        </row>
        <row r="189">
          <cell r="A189" t="str">
            <v>Always_OnSASearch</v>
          </cell>
          <cell r="B189">
            <v>45005</v>
          </cell>
          <cell r="C189">
            <v>45005</v>
          </cell>
          <cell r="D189" t="str">
            <v>Always_On</v>
          </cell>
          <cell r="E189" t="str">
            <v>SA</v>
          </cell>
          <cell r="F189" t="str">
            <v>Search</v>
          </cell>
          <cell r="G189">
            <v>4774</v>
          </cell>
          <cell r="H189">
            <v>50012</v>
          </cell>
          <cell r="I189">
            <v>43057</v>
          </cell>
          <cell r="J189">
            <v>1406</v>
          </cell>
        </row>
        <row r="190">
          <cell r="A190" t="str">
            <v>Always_OnEGYouTube</v>
          </cell>
          <cell r="B190">
            <v>45005</v>
          </cell>
          <cell r="C190">
            <v>45005</v>
          </cell>
          <cell r="D190" t="str">
            <v>Always_On</v>
          </cell>
          <cell r="E190" t="str">
            <v>EG</v>
          </cell>
          <cell r="F190" t="str">
            <v>YouTube</v>
          </cell>
          <cell r="G190">
            <v>2852</v>
          </cell>
          <cell r="H190">
            <v>205789</v>
          </cell>
          <cell r="I190">
            <v>87830</v>
          </cell>
          <cell r="J190">
            <v>362</v>
          </cell>
        </row>
        <row r="191">
          <cell r="A191" t="str">
            <v>Always_OnEGSocial</v>
          </cell>
          <cell r="B191">
            <v>45005</v>
          </cell>
          <cell r="C191">
            <v>45005</v>
          </cell>
          <cell r="D191" t="str">
            <v>Always_On</v>
          </cell>
          <cell r="E191" t="str">
            <v>EG</v>
          </cell>
          <cell r="F191" t="str">
            <v>Social</v>
          </cell>
          <cell r="G191">
            <v>3914</v>
          </cell>
          <cell r="H191">
            <v>271585</v>
          </cell>
          <cell r="I191">
            <v>121078</v>
          </cell>
          <cell r="J191">
            <v>536</v>
          </cell>
        </row>
        <row r="192">
          <cell r="A192" t="str">
            <v>Always_OnEGDisplay</v>
          </cell>
          <cell r="B192">
            <v>45005</v>
          </cell>
          <cell r="C192">
            <v>45005</v>
          </cell>
          <cell r="D192" t="str">
            <v>Always_On</v>
          </cell>
          <cell r="E192" t="str">
            <v>EG</v>
          </cell>
          <cell r="F192" t="str">
            <v>Display</v>
          </cell>
          <cell r="G192">
            <v>2647</v>
          </cell>
          <cell r="H192">
            <v>653342</v>
          </cell>
          <cell r="I192">
            <v>117521</v>
          </cell>
          <cell r="J192">
            <v>90</v>
          </cell>
        </row>
        <row r="193">
          <cell r="A193" t="str">
            <v>Always_OnEGSearch</v>
          </cell>
          <cell r="B193">
            <v>45005</v>
          </cell>
          <cell r="C193">
            <v>45005</v>
          </cell>
          <cell r="D193" t="str">
            <v>Always_On</v>
          </cell>
          <cell r="E193" t="str">
            <v>EG</v>
          </cell>
          <cell r="F193" t="str">
            <v>Search</v>
          </cell>
          <cell r="G193">
            <v>4332</v>
          </cell>
          <cell r="H193">
            <v>60703</v>
          </cell>
          <cell r="I193">
            <v>51449</v>
          </cell>
          <cell r="J193">
            <v>1480</v>
          </cell>
        </row>
        <row r="194">
          <cell r="A194" t="str">
            <v>Always_OnUKYouTube</v>
          </cell>
          <cell r="B194">
            <v>45012</v>
          </cell>
          <cell r="C194">
            <v>45012</v>
          </cell>
          <cell r="D194" t="str">
            <v>Always_On</v>
          </cell>
          <cell r="E194" t="str">
            <v>UK</v>
          </cell>
          <cell r="F194" t="str">
            <v>YouTube</v>
          </cell>
          <cell r="G194">
            <v>5246</v>
          </cell>
          <cell r="H194">
            <v>311349</v>
          </cell>
          <cell r="I194">
            <v>141108</v>
          </cell>
          <cell r="J194">
            <v>160</v>
          </cell>
        </row>
        <row r="195">
          <cell r="A195" t="str">
            <v>Always_OnUKSocial</v>
          </cell>
          <cell r="B195">
            <v>45012</v>
          </cell>
          <cell r="C195">
            <v>45012</v>
          </cell>
          <cell r="D195" t="str">
            <v>Always_On</v>
          </cell>
          <cell r="E195" t="str">
            <v>UK</v>
          </cell>
          <cell r="F195" t="str">
            <v>Social</v>
          </cell>
          <cell r="G195">
            <v>3565</v>
          </cell>
          <cell r="H195">
            <v>244604</v>
          </cell>
          <cell r="I195">
            <v>93036</v>
          </cell>
          <cell r="J195">
            <v>130</v>
          </cell>
        </row>
        <row r="196">
          <cell r="A196" t="str">
            <v>Always_OnUKDisplay</v>
          </cell>
          <cell r="B196">
            <v>45012</v>
          </cell>
          <cell r="C196">
            <v>45012</v>
          </cell>
          <cell r="D196" t="str">
            <v>Always_On</v>
          </cell>
          <cell r="E196" t="str">
            <v>UK</v>
          </cell>
          <cell r="F196" t="str">
            <v>Display</v>
          </cell>
          <cell r="G196">
            <v>2431</v>
          </cell>
          <cell r="H196">
            <v>722557</v>
          </cell>
          <cell r="I196">
            <v>139297</v>
          </cell>
          <cell r="J196">
            <v>20</v>
          </cell>
        </row>
        <row r="197">
          <cell r="A197" t="str">
            <v>Always_OnUKSearch</v>
          </cell>
          <cell r="B197">
            <v>45012</v>
          </cell>
          <cell r="C197">
            <v>45012</v>
          </cell>
          <cell r="D197" t="str">
            <v>Always_On</v>
          </cell>
          <cell r="E197" t="str">
            <v>UK</v>
          </cell>
          <cell r="F197" t="str">
            <v>Search</v>
          </cell>
          <cell r="G197">
            <v>6330</v>
          </cell>
          <cell r="H197">
            <v>80432</v>
          </cell>
          <cell r="I197">
            <v>72061</v>
          </cell>
          <cell r="J197">
            <v>558</v>
          </cell>
        </row>
        <row r="198">
          <cell r="A198" t="str">
            <v>Always_OnDEYouTube</v>
          </cell>
          <cell r="B198">
            <v>45012</v>
          </cell>
          <cell r="C198">
            <v>45012</v>
          </cell>
          <cell r="D198" t="str">
            <v>Always_On</v>
          </cell>
          <cell r="E198" t="str">
            <v>DE</v>
          </cell>
          <cell r="F198" t="str">
            <v>YouTube</v>
          </cell>
          <cell r="G198">
            <v>4584</v>
          </cell>
          <cell r="H198">
            <v>335707</v>
          </cell>
          <cell r="I198">
            <v>141357</v>
          </cell>
          <cell r="J198">
            <v>154</v>
          </cell>
        </row>
        <row r="199">
          <cell r="A199" t="str">
            <v>Always_OnDESocial</v>
          </cell>
          <cell r="B199">
            <v>45012</v>
          </cell>
          <cell r="C199">
            <v>45012</v>
          </cell>
          <cell r="D199" t="str">
            <v>Always_On</v>
          </cell>
          <cell r="E199" t="str">
            <v>DE</v>
          </cell>
          <cell r="F199" t="str">
            <v>Social</v>
          </cell>
          <cell r="G199">
            <v>3463</v>
          </cell>
          <cell r="H199">
            <v>257497</v>
          </cell>
          <cell r="I199">
            <v>88856</v>
          </cell>
          <cell r="J199">
            <v>115</v>
          </cell>
        </row>
        <row r="200">
          <cell r="A200" t="str">
            <v>Always_OnDEDisplay</v>
          </cell>
          <cell r="B200">
            <v>45012</v>
          </cell>
          <cell r="C200">
            <v>45012</v>
          </cell>
          <cell r="D200" t="str">
            <v>Always_On</v>
          </cell>
          <cell r="E200" t="str">
            <v>DE</v>
          </cell>
          <cell r="F200" t="str">
            <v>Display</v>
          </cell>
          <cell r="G200">
            <v>2234</v>
          </cell>
          <cell r="H200">
            <v>516504</v>
          </cell>
          <cell r="I200">
            <v>96274</v>
          </cell>
          <cell r="J200">
            <v>19</v>
          </cell>
        </row>
        <row r="201">
          <cell r="A201" t="str">
            <v>Always_OnDESearch</v>
          </cell>
          <cell r="B201">
            <v>45012</v>
          </cell>
          <cell r="C201">
            <v>45012</v>
          </cell>
          <cell r="D201" t="str">
            <v>Always_On</v>
          </cell>
          <cell r="E201" t="str">
            <v>DE</v>
          </cell>
          <cell r="F201" t="str">
            <v>Search</v>
          </cell>
          <cell r="G201">
            <v>4912</v>
          </cell>
          <cell r="H201">
            <v>51380</v>
          </cell>
          <cell r="I201">
            <v>43243</v>
          </cell>
          <cell r="J201">
            <v>447</v>
          </cell>
        </row>
        <row r="202">
          <cell r="A202" t="str">
            <v>Always_OnSAYouTube</v>
          </cell>
          <cell r="B202">
            <v>45012</v>
          </cell>
          <cell r="C202">
            <v>45012</v>
          </cell>
          <cell r="D202" t="str">
            <v>Always_On</v>
          </cell>
          <cell r="E202" t="str">
            <v>SA</v>
          </cell>
          <cell r="F202" t="str">
            <v>YouTube</v>
          </cell>
          <cell r="G202">
            <v>4762</v>
          </cell>
          <cell r="H202">
            <v>252683</v>
          </cell>
          <cell r="I202">
            <v>104471</v>
          </cell>
          <cell r="J202">
            <v>634</v>
          </cell>
        </row>
        <row r="203">
          <cell r="A203" t="str">
            <v>Always_OnSASocial</v>
          </cell>
          <cell r="B203">
            <v>45012</v>
          </cell>
          <cell r="C203">
            <v>45012</v>
          </cell>
          <cell r="D203" t="str">
            <v>Always_On</v>
          </cell>
          <cell r="E203" t="str">
            <v>SA</v>
          </cell>
          <cell r="F203" t="str">
            <v>Social</v>
          </cell>
          <cell r="G203">
            <v>4862</v>
          </cell>
          <cell r="H203">
            <v>339799</v>
          </cell>
          <cell r="I203">
            <v>138588</v>
          </cell>
          <cell r="J203">
            <v>610</v>
          </cell>
        </row>
        <row r="204">
          <cell r="A204" t="str">
            <v>Always_OnSADisplay</v>
          </cell>
          <cell r="B204">
            <v>45012</v>
          </cell>
          <cell r="C204">
            <v>45012</v>
          </cell>
          <cell r="D204" t="str">
            <v>Always_On</v>
          </cell>
          <cell r="E204" t="str">
            <v>SA</v>
          </cell>
          <cell r="F204" t="str">
            <v>Display</v>
          </cell>
          <cell r="G204">
            <v>1960</v>
          </cell>
          <cell r="H204">
            <v>525628</v>
          </cell>
          <cell r="I204">
            <v>97482</v>
          </cell>
          <cell r="J204">
            <v>67</v>
          </cell>
        </row>
        <row r="205">
          <cell r="A205" t="str">
            <v>Always_OnSASearch</v>
          </cell>
          <cell r="B205">
            <v>45012</v>
          </cell>
          <cell r="C205">
            <v>45012</v>
          </cell>
          <cell r="D205" t="str">
            <v>Always_On</v>
          </cell>
          <cell r="E205" t="str">
            <v>SA</v>
          </cell>
          <cell r="F205" t="str">
            <v>Search</v>
          </cell>
          <cell r="G205">
            <v>3010</v>
          </cell>
          <cell r="H205">
            <v>43952</v>
          </cell>
          <cell r="I205">
            <v>39192</v>
          </cell>
          <cell r="J205">
            <v>941</v>
          </cell>
        </row>
        <row r="206">
          <cell r="A206" t="str">
            <v>Always_OnEGYouTube</v>
          </cell>
          <cell r="B206">
            <v>45012</v>
          </cell>
          <cell r="C206">
            <v>45012</v>
          </cell>
          <cell r="D206" t="str">
            <v>Always_On</v>
          </cell>
          <cell r="E206" t="str">
            <v>EG</v>
          </cell>
          <cell r="F206" t="str">
            <v>YouTube</v>
          </cell>
          <cell r="G206">
            <v>3671</v>
          </cell>
          <cell r="H206">
            <v>203375</v>
          </cell>
          <cell r="I206">
            <v>68920</v>
          </cell>
          <cell r="J206">
            <v>482</v>
          </cell>
        </row>
        <row r="207">
          <cell r="A207" t="str">
            <v>Always_OnEGSocial</v>
          </cell>
          <cell r="B207">
            <v>45012</v>
          </cell>
          <cell r="C207">
            <v>45012</v>
          </cell>
          <cell r="D207" t="str">
            <v>Always_On</v>
          </cell>
          <cell r="E207" t="str">
            <v>EG</v>
          </cell>
          <cell r="F207" t="str">
            <v>Social</v>
          </cell>
          <cell r="G207">
            <v>2862</v>
          </cell>
          <cell r="H207">
            <v>229062</v>
          </cell>
          <cell r="I207">
            <v>109246</v>
          </cell>
          <cell r="J207">
            <v>357</v>
          </cell>
        </row>
        <row r="208">
          <cell r="A208" t="str">
            <v>Always_OnEGDisplay</v>
          </cell>
          <cell r="B208">
            <v>45012</v>
          </cell>
          <cell r="C208">
            <v>45012</v>
          </cell>
          <cell r="D208" t="str">
            <v>Always_On</v>
          </cell>
          <cell r="E208" t="str">
            <v>EG</v>
          </cell>
          <cell r="F208" t="str">
            <v>Display</v>
          </cell>
          <cell r="G208">
            <v>3187</v>
          </cell>
          <cell r="H208">
            <v>833465</v>
          </cell>
          <cell r="I208">
            <v>141346</v>
          </cell>
          <cell r="J208">
            <v>102</v>
          </cell>
        </row>
        <row r="209">
          <cell r="A209" t="str">
            <v>Always_OnEGSearch</v>
          </cell>
          <cell r="B209">
            <v>45012</v>
          </cell>
          <cell r="C209">
            <v>45012</v>
          </cell>
          <cell r="D209" t="str">
            <v>Always_On</v>
          </cell>
          <cell r="E209" t="str">
            <v>EG</v>
          </cell>
          <cell r="F209" t="str">
            <v>Search</v>
          </cell>
          <cell r="G209">
            <v>3368</v>
          </cell>
          <cell r="H209">
            <v>42875</v>
          </cell>
          <cell r="I209">
            <v>37498</v>
          </cell>
          <cell r="J209">
            <v>1079</v>
          </cell>
        </row>
        <row r="210">
          <cell r="A210" t="str">
            <v>Always_OnUKYouTube</v>
          </cell>
          <cell r="B210">
            <v>45019</v>
          </cell>
          <cell r="C210">
            <v>45019</v>
          </cell>
          <cell r="D210" t="str">
            <v>Always_On</v>
          </cell>
          <cell r="E210" t="str">
            <v>UK</v>
          </cell>
          <cell r="F210" t="str">
            <v>YouTube</v>
          </cell>
          <cell r="G210">
            <v>6526</v>
          </cell>
          <cell r="H210">
            <v>505679</v>
          </cell>
          <cell r="I210">
            <v>208399</v>
          </cell>
          <cell r="J210">
            <v>199</v>
          </cell>
        </row>
        <row r="211">
          <cell r="A211" t="str">
            <v>Always_OnUKSocial</v>
          </cell>
          <cell r="B211">
            <v>45019</v>
          </cell>
          <cell r="C211">
            <v>45019</v>
          </cell>
          <cell r="D211" t="str">
            <v>Always_On</v>
          </cell>
          <cell r="E211" t="str">
            <v>UK</v>
          </cell>
          <cell r="F211" t="str">
            <v>Social</v>
          </cell>
          <cell r="G211">
            <v>6313</v>
          </cell>
          <cell r="H211">
            <v>419333</v>
          </cell>
          <cell r="I211">
            <v>146083</v>
          </cell>
          <cell r="J211">
            <v>226</v>
          </cell>
        </row>
        <row r="212">
          <cell r="A212" t="str">
            <v>Always_OnUKDisplay</v>
          </cell>
          <cell r="B212">
            <v>45019</v>
          </cell>
          <cell r="C212">
            <v>45019</v>
          </cell>
          <cell r="D212" t="str">
            <v>Always_On</v>
          </cell>
          <cell r="E212" t="str">
            <v>UK</v>
          </cell>
          <cell r="F212" t="str">
            <v>Display</v>
          </cell>
          <cell r="G212">
            <v>4657</v>
          </cell>
          <cell r="H212">
            <v>1186304</v>
          </cell>
          <cell r="I212">
            <v>278319</v>
          </cell>
          <cell r="J212">
            <v>37</v>
          </cell>
        </row>
        <row r="213">
          <cell r="A213" t="str">
            <v>Always_OnUKSearch</v>
          </cell>
          <cell r="B213">
            <v>45019</v>
          </cell>
          <cell r="C213">
            <v>45019</v>
          </cell>
          <cell r="D213" t="str">
            <v>Always_On</v>
          </cell>
          <cell r="E213" t="str">
            <v>UK</v>
          </cell>
          <cell r="F213" t="str">
            <v>Search</v>
          </cell>
          <cell r="G213">
            <v>5910</v>
          </cell>
          <cell r="H213">
            <v>82308</v>
          </cell>
          <cell r="I213">
            <v>69828</v>
          </cell>
          <cell r="J213">
            <v>512</v>
          </cell>
        </row>
        <row r="214">
          <cell r="A214" t="str">
            <v>Always_OnDEYouTube</v>
          </cell>
          <cell r="B214">
            <v>45019</v>
          </cell>
          <cell r="C214">
            <v>45019</v>
          </cell>
          <cell r="D214" t="str">
            <v>Always_On</v>
          </cell>
          <cell r="E214" t="str">
            <v>DE</v>
          </cell>
          <cell r="F214" t="str">
            <v>YouTube</v>
          </cell>
          <cell r="G214">
            <v>3699</v>
          </cell>
          <cell r="H214">
            <v>203472</v>
          </cell>
          <cell r="I214">
            <v>75787</v>
          </cell>
          <cell r="J214">
            <v>121</v>
          </cell>
        </row>
        <row r="215">
          <cell r="A215" t="str">
            <v>Always_OnDESocial</v>
          </cell>
          <cell r="B215">
            <v>45019</v>
          </cell>
          <cell r="C215">
            <v>45019</v>
          </cell>
          <cell r="D215" t="str">
            <v>Always_On</v>
          </cell>
          <cell r="E215" t="str">
            <v>DE</v>
          </cell>
          <cell r="F215" t="str">
            <v>Social</v>
          </cell>
          <cell r="G215">
            <v>4915</v>
          </cell>
          <cell r="H215">
            <v>367179</v>
          </cell>
          <cell r="I215">
            <v>153436</v>
          </cell>
          <cell r="J215">
            <v>152</v>
          </cell>
        </row>
        <row r="216">
          <cell r="A216" t="str">
            <v>Always_OnDEDisplay</v>
          </cell>
          <cell r="B216">
            <v>45019</v>
          </cell>
          <cell r="C216">
            <v>45019</v>
          </cell>
          <cell r="D216" t="str">
            <v>Always_On</v>
          </cell>
          <cell r="E216" t="str">
            <v>DE</v>
          </cell>
          <cell r="F216" t="str">
            <v>Display</v>
          </cell>
          <cell r="G216">
            <v>3241</v>
          </cell>
          <cell r="H216">
            <v>705670</v>
          </cell>
          <cell r="I216">
            <v>176065</v>
          </cell>
          <cell r="J216">
            <v>26</v>
          </cell>
        </row>
        <row r="217">
          <cell r="A217" t="str">
            <v>Always_OnDESearch</v>
          </cell>
          <cell r="B217">
            <v>45019</v>
          </cell>
          <cell r="C217">
            <v>45019</v>
          </cell>
          <cell r="D217" t="str">
            <v>Always_On</v>
          </cell>
          <cell r="E217" t="str">
            <v>DE</v>
          </cell>
          <cell r="F217" t="str">
            <v>Search</v>
          </cell>
          <cell r="G217">
            <v>6770</v>
          </cell>
          <cell r="H217">
            <v>89427</v>
          </cell>
          <cell r="I217">
            <v>78992</v>
          </cell>
          <cell r="J217">
            <v>531</v>
          </cell>
        </row>
        <row r="218">
          <cell r="A218" t="str">
            <v>Always_OnSAYouTube</v>
          </cell>
          <cell r="B218">
            <v>45019</v>
          </cell>
          <cell r="C218">
            <v>45019</v>
          </cell>
          <cell r="D218" t="str">
            <v>Always_On</v>
          </cell>
          <cell r="E218" t="str">
            <v>SA</v>
          </cell>
          <cell r="F218" t="str">
            <v>YouTube</v>
          </cell>
          <cell r="G218">
            <v>1975</v>
          </cell>
          <cell r="H218">
            <v>127928</v>
          </cell>
          <cell r="I218">
            <v>58817</v>
          </cell>
          <cell r="J218">
            <v>264</v>
          </cell>
        </row>
        <row r="219">
          <cell r="A219" t="str">
            <v>Always_OnSASocial</v>
          </cell>
          <cell r="B219">
            <v>45019</v>
          </cell>
          <cell r="C219">
            <v>45019</v>
          </cell>
          <cell r="D219" t="str">
            <v>Always_On</v>
          </cell>
          <cell r="E219" t="str">
            <v>SA</v>
          </cell>
          <cell r="F219" t="str">
            <v>Social</v>
          </cell>
          <cell r="G219">
            <v>3129</v>
          </cell>
          <cell r="H219">
            <v>186481</v>
          </cell>
          <cell r="I219">
            <v>65815</v>
          </cell>
          <cell r="J219">
            <v>434</v>
          </cell>
        </row>
        <row r="220">
          <cell r="A220" t="str">
            <v>Always_OnSADisplay</v>
          </cell>
          <cell r="B220">
            <v>45019</v>
          </cell>
          <cell r="C220">
            <v>45019</v>
          </cell>
          <cell r="D220" t="str">
            <v>Always_On</v>
          </cell>
          <cell r="E220" t="str">
            <v>SA</v>
          </cell>
          <cell r="F220" t="str">
            <v>Display</v>
          </cell>
          <cell r="G220">
            <v>1308</v>
          </cell>
          <cell r="H220">
            <v>273641</v>
          </cell>
          <cell r="I220">
            <v>68027</v>
          </cell>
          <cell r="J220">
            <v>40</v>
          </cell>
        </row>
        <row r="221">
          <cell r="A221" t="str">
            <v>Always_OnSASearch</v>
          </cell>
          <cell r="B221">
            <v>45019</v>
          </cell>
          <cell r="C221">
            <v>45019</v>
          </cell>
          <cell r="D221" t="str">
            <v>Always_On</v>
          </cell>
          <cell r="E221" t="str">
            <v>SA</v>
          </cell>
          <cell r="F221" t="str">
            <v>Search</v>
          </cell>
          <cell r="G221">
            <v>2599</v>
          </cell>
          <cell r="H221">
            <v>29151</v>
          </cell>
          <cell r="I221">
            <v>26308</v>
          </cell>
          <cell r="J221">
            <v>889</v>
          </cell>
        </row>
        <row r="222">
          <cell r="A222" t="str">
            <v>Always_OnEGYouTube</v>
          </cell>
          <cell r="B222">
            <v>45019</v>
          </cell>
          <cell r="C222">
            <v>45019</v>
          </cell>
          <cell r="D222" t="str">
            <v>Always_On</v>
          </cell>
          <cell r="E222" t="str">
            <v>EG</v>
          </cell>
          <cell r="F222" t="str">
            <v>YouTube</v>
          </cell>
          <cell r="G222">
            <v>2729</v>
          </cell>
          <cell r="H222">
            <v>201563</v>
          </cell>
          <cell r="I222">
            <v>93878</v>
          </cell>
          <cell r="J222">
            <v>368</v>
          </cell>
        </row>
        <row r="223">
          <cell r="A223" t="str">
            <v>Always_OnEGSocial</v>
          </cell>
          <cell r="B223">
            <v>45019</v>
          </cell>
          <cell r="C223">
            <v>45019</v>
          </cell>
          <cell r="D223" t="str">
            <v>Always_On</v>
          </cell>
          <cell r="E223" t="str">
            <v>EG</v>
          </cell>
          <cell r="F223" t="str">
            <v>Social</v>
          </cell>
          <cell r="G223">
            <v>3573</v>
          </cell>
          <cell r="H223">
            <v>257605</v>
          </cell>
          <cell r="I223">
            <v>110831</v>
          </cell>
          <cell r="J223">
            <v>463</v>
          </cell>
        </row>
        <row r="224">
          <cell r="A224" t="str">
            <v>Always_OnEGDisplay</v>
          </cell>
          <cell r="B224">
            <v>45019</v>
          </cell>
          <cell r="C224">
            <v>45019</v>
          </cell>
          <cell r="D224" t="str">
            <v>Always_On</v>
          </cell>
          <cell r="E224" t="str">
            <v>EG</v>
          </cell>
          <cell r="F224" t="str">
            <v>Display</v>
          </cell>
          <cell r="G224">
            <v>2635</v>
          </cell>
          <cell r="H224">
            <v>629859</v>
          </cell>
          <cell r="I224">
            <v>110227</v>
          </cell>
          <cell r="J224">
            <v>77</v>
          </cell>
        </row>
        <row r="225">
          <cell r="A225" t="str">
            <v>Always_OnEGSearch</v>
          </cell>
          <cell r="B225">
            <v>45019</v>
          </cell>
          <cell r="C225">
            <v>45019</v>
          </cell>
          <cell r="D225" t="str">
            <v>Always_On</v>
          </cell>
          <cell r="E225" t="str">
            <v>EG</v>
          </cell>
          <cell r="F225" t="str">
            <v>Search</v>
          </cell>
          <cell r="G225">
            <v>4279</v>
          </cell>
          <cell r="H225">
            <v>52202</v>
          </cell>
          <cell r="I225">
            <v>47319</v>
          </cell>
          <cell r="J225">
            <v>1306</v>
          </cell>
        </row>
        <row r="226">
          <cell r="A226" t="str">
            <v>Always_OnUKYouTube</v>
          </cell>
          <cell r="B226">
            <v>45026</v>
          </cell>
          <cell r="C226">
            <v>45026</v>
          </cell>
          <cell r="D226" t="str">
            <v>Always_On</v>
          </cell>
          <cell r="E226" t="str">
            <v>UK</v>
          </cell>
          <cell r="F226" t="str">
            <v>YouTube</v>
          </cell>
          <cell r="G226">
            <v>3259</v>
          </cell>
          <cell r="H226">
            <v>287985</v>
          </cell>
          <cell r="I226">
            <v>127496</v>
          </cell>
          <cell r="J226">
            <v>120</v>
          </cell>
        </row>
        <row r="227">
          <cell r="A227" t="str">
            <v>Always_OnUKSocial</v>
          </cell>
          <cell r="B227">
            <v>45026</v>
          </cell>
          <cell r="C227">
            <v>45026</v>
          </cell>
          <cell r="D227" t="str">
            <v>Always_On</v>
          </cell>
          <cell r="E227" t="str">
            <v>UK</v>
          </cell>
          <cell r="F227" t="str">
            <v>Social</v>
          </cell>
          <cell r="G227">
            <v>6831</v>
          </cell>
          <cell r="H227">
            <v>407179</v>
          </cell>
          <cell r="I227">
            <v>172330</v>
          </cell>
          <cell r="J227">
            <v>224</v>
          </cell>
        </row>
        <row r="228">
          <cell r="A228" t="str">
            <v>Always_OnUKDisplay</v>
          </cell>
          <cell r="B228">
            <v>45026</v>
          </cell>
          <cell r="C228">
            <v>45026</v>
          </cell>
          <cell r="D228" t="str">
            <v>Always_On</v>
          </cell>
          <cell r="E228" t="str">
            <v>UK</v>
          </cell>
          <cell r="F228" t="str">
            <v>Display</v>
          </cell>
          <cell r="G228">
            <v>2464</v>
          </cell>
          <cell r="H228">
            <v>674464</v>
          </cell>
          <cell r="I228">
            <v>129080</v>
          </cell>
          <cell r="J228">
            <v>20</v>
          </cell>
        </row>
        <row r="229">
          <cell r="A229" t="str">
            <v>Always_OnUKSearch</v>
          </cell>
          <cell r="B229">
            <v>45026</v>
          </cell>
          <cell r="C229">
            <v>45026</v>
          </cell>
          <cell r="D229" t="str">
            <v>Always_On</v>
          </cell>
          <cell r="E229" t="str">
            <v>UK</v>
          </cell>
          <cell r="F229" t="str">
            <v>Search</v>
          </cell>
          <cell r="G229">
            <v>6465</v>
          </cell>
          <cell r="H229">
            <v>96560</v>
          </cell>
          <cell r="I229">
            <v>86136</v>
          </cell>
          <cell r="J229">
            <v>533</v>
          </cell>
        </row>
        <row r="230">
          <cell r="A230" t="str">
            <v>Always_OnDEYouTube</v>
          </cell>
          <cell r="B230">
            <v>45026</v>
          </cell>
          <cell r="C230">
            <v>45026</v>
          </cell>
          <cell r="D230" t="str">
            <v>Always_On</v>
          </cell>
          <cell r="E230" t="str">
            <v>DE</v>
          </cell>
          <cell r="F230" t="str">
            <v>YouTube</v>
          </cell>
          <cell r="G230">
            <v>6543</v>
          </cell>
          <cell r="H230">
            <v>525598</v>
          </cell>
          <cell r="I230">
            <v>213932</v>
          </cell>
          <cell r="J230">
            <v>239</v>
          </cell>
        </row>
        <row r="231">
          <cell r="A231" t="str">
            <v>Always_OnDESocial</v>
          </cell>
          <cell r="B231">
            <v>45026</v>
          </cell>
          <cell r="C231">
            <v>45026</v>
          </cell>
          <cell r="D231" t="str">
            <v>Always_On</v>
          </cell>
          <cell r="E231" t="str">
            <v>DE</v>
          </cell>
          <cell r="F231" t="str">
            <v>Social</v>
          </cell>
          <cell r="G231">
            <v>4448</v>
          </cell>
          <cell r="H231">
            <v>354259</v>
          </cell>
          <cell r="I231">
            <v>132429</v>
          </cell>
          <cell r="J231">
            <v>147</v>
          </cell>
        </row>
        <row r="232">
          <cell r="A232" t="str">
            <v>Always_OnDEDisplay</v>
          </cell>
          <cell r="B232">
            <v>45026</v>
          </cell>
          <cell r="C232">
            <v>45026</v>
          </cell>
          <cell r="D232" t="str">
            <v>Always_On</v>
          </cell>
          <cell r="E232" t="str">
            <v>DE</v>
          </cell>
          <cell r="F232" t="str">
            <v>Display</v>
          </cell>
          <cell r="G232">
            <v>2505</v>
          </cell>
          <cell r="H232">
            <v>686970</v>
          </cell>
          <cell r="I232">
            <v>133822</v>
          </cell>
          <cell r="J232">
            <v>19</v>
          </cell>
        </row>
        <row r="233">
          <cell r="A233" t="str">
            <v>Always_OnDESearch</v>
          </cell>
          <cell r="B233">
            <v>45026</v>
          </cell>
          <cell r="C233">
            <v>45026</v>
          </cell>
          <cell r="D233" t="str">
            <v>Always_On</v>
          </cell>
          <cell r="E233" t="str">
            <v>DE</v>
          </cell>
          <cell r="F233" t="str">
            <v>Search</v>
          </cell>
          <cell r="G233">
            <v>3905</v>
          </cell>
          <cell r="H233">
            <v>51369</v>
          </cell>
          <cell r="I233">
            <v>45896</v>
          </cell>
          <cell r="J233">
            <v>359</v>
          </cell>
        </row>
        <row r="234">
          <cell r="A234" t="str">
            <v>Always_OnSAYouTube</v>
          </cell>
          <cell r="B234">
            <v>45026</v>
          </cell>
          <cell r="C234">
            <v>45026</v>
          </cell>
          <cell r="D234" t="str">
            <v>Always_On</v>
          </cell>
          <cell r="E234" t="str">
            <v>SA</v>
          </cell>
          <cell r="F234" t="str">
            <v>YouTube</v>
          </cell>
          <cell r="G234">
            <v>2556</v>
          </cell>
          <cell r="H234">
            <v>139607</v>
          </cell>
          <cell r="I234">
            <v>55430</v>
          </cell>
          <cell r="J234">
            <v>336</v>
          </cell>
        </row>
        <row r="235">
          <cell r="A235" t="str">
            <v>Always_OnSASocial</v>
          </cell>
          <cell r="B235">
            <v>45026</v>
          </cell>
          <cell r="C235">
            <v>45026</v>
          </cell>
          <cell r="D235" t="str">
            <v>Always_On</v>
          </cell>
          <cell r="E235" t="str">
            <v>SA</v>
          </cell>
          <cell r="F235" t="str">
            <v>Social</v>
          </cell>
          <cell r="G235">
            <v>4584</v>
          </cell>
          <cell r="H235">
            <v>297873</v>
          </cell>
          <cell r="I235">
            <v>112134</v>
          </cell>
          <cell r="J235">
            <v>547</v>
          </cell>
        </row>
        <row r="236">
          <cell r="A236" t="str">
            <v>Always_OnSADisplay</v>
          </cell>
          <cell r="B236">
            <v>45026</v>
          </cell>
          <cell r="C236">
            <v>45026</v>
          </cell>
          <cell r="D236" t="str">
            <v>Always_On</v>
          </cell>
          <cell r="E236" t="str">
            <v>SA</v>
          </cell>
          <cell r="F236" t="str">
            <v>Display</v>
          </cell>
          <cell r="G236">
            <v>1589</v>
          </cell>
          <cell r="H236">
            <v>386661</v>
          </cell>
          <cell r="I236">
            <v>69579</v>
          </cell>
          <cell r="J236">
            <v>46</v>
          </cell>
        </row>
        <row r="237">
          <cell r="A237" t="str">
            <v>Always_OnSASearch</v>
          </cell>
          <cell r="B237">
            <v>45026</v>
          </cell>
          <cell r="C237">
            <v>45026</v>
          </cell>
          <cell r="D237" t="str">
            <v>Always_On</v>
          </cell>
          <cell r="E237" t="str">
            <v>SA</v>
          </cell>
          <cell r="F237" t="str">
            <v>Search</v>
          </cell>
          <cell r="G237">
            <v>3192</v>
          </cell>
          <cell r="H237">
            <v>34184</v>
          </cell>
          <cell r="I237">
            <v>30752</v>
          </cell>
          <cell r="J237">
            <v>1096</v>
          </cell>
        </row>
        <row r="238">
          <cell r="A238" t="str">
            <v>Always_OnEGYouTube</v>
          </cell>
          <cell r="B238">
            <v>45026</v>
          </cell>
          <cell r="C238">
            <v>45026</v>
          </cell>
          <cell r="D238" t="str">
            <v>Always_On</v>
          </cell>
          <cell r="E238" t="str">
            <v>EG</v>
          </cell>
          <cell r="F238" t="str">
            <v>YouTube</v>
          </cell>
          <cell r="G238">
            <v>5035</v>
          </cell>
          <cell r="H238">
            <v>266647</v>
          </cell>
          <cell r="I238">
            <v>115232</v>
          </cell>
          <cell r="J238">
            <v>686</v>
          </cell>
        </row>
        <row r="239">
          <cell r="A239" t="str">
            <v>Always_OnEGSocial</v>
          </cell>
          <cell r="B239">
            <v>45026</v>
          </cell>
          <cell r="C239">
            <v>45026</v>
          </cell>
          <cell r="D239" t="str">
            <v>Always_On</v>
          </cell>
          <cell r="E239" t="str">
            <v>EG</v>
          </cell>
          <cell r="F239" t="str">
            <v>Social</v>
          </cell>
          <cell r="G239">
            <v>3274</v>
          </cell>
          <cell r="H239">
            <v>294329</v>
          </cell>
          <cell r="I239">
            <v>102448</v>
          </cell>
          <cell r="J239">
            <v>380</v>
          </cell>
        </row>
        <row r="240">
          <cell r="A240" t="str">
            <v>Always_OnEGDisplay</v>
          </cell>
          <cell r="B240">
            <v>45026</v>
          </cell>
          <cell r="C240">
            <v>45026</v>
          </cell>
          <cell r="D240" t="str">
            <v>Always_On</v>
          </cell>
          <cell r="E240" t="str">
            <v>EG</v>
          </cell>
          <cell r="F240" t="str">
            <v>Display</v>
          </cell>
          <cell r="G240">
            <v>1715</v>
          </cell>
          <cell r="H240">
            <v>505555</v>
          </cell>
          <cell r="I240">
            <v>96369</v>
          </cell>
          <cell r="J240">
            <v>56</v>
          </cell>
        </row>
        <row r="241">
          <cell r="A241" t="str">
            <v>Always_OnEGSearch</v>
          </cell>
          <cell r="B241">
            <v>45026</v>
          </cell>
          <cell r="C241">
            <v>45026</v>
          </cell>
          <cell r="D241" t="str">
            <v>Always_On</v>
          </cell>
          <cell r="E241" t="str">
            <v>EG</v>
          </cell>
          <cell r="F241" t="str">
            <v>Search</v>
          </cell>
          <cell r="G241">
            <v>3759</v>
          </cell>
          <cell r="H241">
            <v>48549</v>
          </cell>
          <cell r="I241">
            <v>42904</v>
          </cell>
          <cell r="J241">
            <v>1210</v>
          </cell>
        </row>
        <row r="242">
          <cell r="A242" t="str">
            <v>ExamPrep_23UKYouTube</v>
          </cell>
          <cell r="B242">
            <v>45033</v>
          </cell>
          <cell r="C242">
            <v>45033</v>
          </cell>
          <cell r="D242" t="str">
            <v>ExamPrep_23</v>
          </cell>
          <cell r="E242" t="str">
            <v>UK</v>
          </cell>
          <cell r="F242" t="str">
            <v>YouTube</v>
          </cell>
          <cell r="G242">
            <v>17643</v>
          </cell>
          <cell r="H242">
            <v>1233374</v>
          </cell>
          <cell r="I242">
            <v>575804</v>
          </cell>
          <cell r="J242">
            <v>612</v>
          </cell>
        </row>
        <row r="243">
          <cell r="A243" t="str">
            <v>ExamPrep_23UKSocial</v>
          </cell>
          <cell r="B243">
            <v>45033</v>
          </cell>
          <cell r="C243">
            <v>45033</v>
          </cell>
          <cell r="D243" t="str">
            <v>ExamPrep_23</v>
          </cell>
          <cell r="E243" t="str">
            <v>UK</v>
          </cell>
          <cell r="F243" t="str">
            <v>Social</v>
          </cell>
          <cell r="G243">
            <v>15064</v>
          </cell>
          <cell r="H243">
            <v>1122545</v>
          </cell>
          <cell r="I243">
            <v>457809</v>
          </cell>
          <cell r="J243">
            <v>512</v>
          </cell>
        </row>
        <row r="244">
          <cell r="A244" t="str">
            <v>ExamPrep_23UKDisplay</v>
          </cell>
          <cell r="B244">
            <v>45033</v>
          </cell>
          <cell r="C244">
            <v>45033</v>
          </cell>
          <cell r="D244" t="str">
            <v>ExamPrep_23</v>
          </cell>
          <cell r="E244" t="str">
            <v>UK</v>
          </cell>
          <cell r="F244" t="str">
            <v>Display</v>
          </cell>
          <cell r="G244">
            <v>11784</v>
          </cell>
          <cell r="H244">
            <v>3124463</v>
          </cell>
          <cell r="I244">
            <v>607661</v>
          </cell>
          <cell r="J244">
            <v>97</v>
          </cell>
        </row>
        <row r="245">
          <cell r="A245" t="str">
            <v>ExamPrep_23UKSearch</v>
          </cell>
          <cell r="B245">
            <v>45033</v>
          </cell>
          <cell r="C245">
            <v>45033</v>
          </cell>
          <cell r="D245" t="str">
            <v>ExamPrep_23</v>
          </cell>
          <cell r="E245" t="str">
            <v>UK</v>
          </cell>
          <cell r="F245" t="str">
            <v>Search</v>
          </cell>
          <cell r="G245">
            <v>15875</v>
          </cell>
          <cell r="H245">
            <v>160464</v>
          </cell>
          <cell r="I245">
            <v>140823</v>
          </cell>
          <cell r="J245">
            <v>1230</v>
          </cell>
        </row>
        <row r="246">
          <cell r="A246" t="str">
            <v>ExamPrep_23DEYouTube</v>
          </cell>
          <cell r="B246">
            <v>45033</v>
          </cell>
          <cell r="C246">
            <v>45033</v>
          </cell>
          <cell r="D246" t="str">
            <v>ExamPrep_23</v>
          </cell>
          <cell r="E246" t="str">
            <v>DE</v>
          </cell>
          <cell r="F246" t="str">
            <v>YouTube</v>
          </cell>
          <cell r="G246">
            <v>24681</v>
          </cell>
          <cell r="H246">
            <v>2065770</v>
          </cell>
          <cell r="I246">
            <v>803226</v>
          </cell>
          <cell r="J246">
            <v>767</v>
          </cell>
        </row>
        <row r="247">
          <cell r="A247" t="str">
            <v>ExamPrep_23DESocial</v>
          </cell>
          <cell r="B247">
            <v>45033</v>
          </cell>
          <cell r="C247">
            <v>45033</v>
          </cell>
          <cell r="D247" t="str">
            <v>ExamPrep_23</v>
          </cell>
          <cell r="E247" t="str">
            <v>DE</v>
          </cell>
          <cell r="F247" t="str">
            <v>Social</v>
          </cell>
          <cell r="G247">
            <v>20559</v>
          </cell>
          <cell r="H247">
            <v>1456964</v>
          </cell>
          <cell r="I247">
            <v>682609</v>
          </cell>
          <cell r="J247">
            <v>680</v>
          </cell>
        </row>
        <row r="248">
          <cell r="A248" t="str">
            <v>ExamPrep_23DEDisplay</v>
          </cell>
          <cell r="B248">
            <v>45033</v>
          </cell>
          <cell r="C248">
            <v>45033</v>
          </cell>
          <cell r="D248" t="str">
            <v>ExamPrep_23</v>
          </cell>
          <cell r="E248" t="str">
            <v>DE</v>
          </cell>
          <cell r="F248" t="str">
            <v>Display</v>
          </cell>
          <cell r="G248">
            <v>12710</v>
          </cell>
          <cell r="H248">
            <v>3165391</v>
          </cell>
          <cell r="I248">
            <v>652708</v>
          </cell>
          <cell r="J248">
            <v>102</v>
          </cell>
        </row>
        <row r="249">
          <cell r="A249" t="str">
            <v>ExamPrep_23DESearch</v>
          </cell>
          <cell r="B249">
            <v>45033</v>
          </cell>
          <cell r="C249">
            <v>45033</v>
          </cell>
          <cell r="D249" t="str">
            <v>ExamPrep_23</v>
          </cell>
          <cell r="E249" t="str">
            <v>DE</v>
          </cell>
          <cell r="F249" t="str">
            <v>Search</v>
          </cell>
          <cell r="G249">
            <v>21133</v>
          </cell>
          <cell r="H249">
            <v>261192</v>
          </cell>
          <cell r="I249">
            <v>222666</v>
          </cell>
          <cell r="J249">
            <v>1721</v>
          </cell>
        </row>
        <row r="250">
          <cell r="A250" t="str">
            <v>ExamPrep_23SAYouTube</v>
          </cell>
          <cell r="B250">
            <v>45033</v>
          </cell>
          <cell r="C250">
            <v>45033</v>
          </cell>
          <cell r="D250" t="str">
            <v>ExamPrep_23</v>
          </cell>
          <cell r="E250" t="str">
            <v>SA</v>
          </cell>
          <cell r="F250" t="str">
            <v>YouTube</v>
          </cell>
          <cell r="G250">
            <v>15144</v>
          </cell>
          <cell r="H250">
            <v>983865</v>
          </cell>
          <cell r="I250">
            <v>360438</v>
          </cell>
          <cell r="J250">
            <v>1998</v>
          </cell>
        </row>
        <row r="251">
          <cell r="A251" t="str">
            <v>ExamPrep_23SASocial</v>
          </cell>
          <cell r="B251">
            <v>45033</v>
          </cell>
          <cell r="C251">
            <v>45033</v>
          </cell>
          <cell r="D251" t="str">
            <v>ExamPrep_23</v>
          </cell>
          <cell r="E251" t="str">
            <v>SA</v>
          </cell>
          <cell r="F251" t="str">
            <v>Social</v>
          </cell>
          <cell r="G251">
            <v>17144</v>
          </cell>
          <cell r="H251">
            <v>975844</v>
          </cell>
          <cell r="I251">
            <v>414908</v>
          </cell>
          <cell r="J251">
            <v>2261</v>
          </cell>
        </row>
        <row r="252">
          <cell r="A252" t="str">
            <v>ExamPrep_23SADisplay</v>
          </cell>
          <cell r="B252">
            <v>45033</v>
          </cell>
          <cell r="C252">
            <v>45033</v>
          </cell>
          <cell r="D252" t="str">
            <v>ExamPrep_23</v>
          </cell>
          <cell r="E252" t="str">
            <v>SA</v>
          </cell>
          <cell r="F252" t="str">
            <v>Display</v>
          </cell>
          <cell r="G252">
            <v>7133</v>
          </cell>
          <cell r="H252">
            <v>2016033</v>
          </cell>
          <cell r="I252">
            <v>375301</v>
          </cell>
          <cell r="J252">
            <v>207</v>
          </cell>
        </row>
        <row r="253">
          <cell r="A253" t="str">
            <v>ExamPrep_23SASearch</v>
          </cell>
          <cell r="B253">
            <v>45033</v>
          </cell>
          <cell r="C253">
            <v>45033</v>
          </cell>
          <cell r="D253" t="str">
            <v>ExamPrep_23</v>
          </cell>
          <cell r="E253" t="str">
            <v>SA</v>
          </cell>
          <cell r="F253" t="str">
            <v>Search</v>
          </cell>
          <cell r="G253">
            <v>12784</v>
          </cell>
          <cell r="H253">
            <v>136361</v>
          </cell>
          <cell r="I253">
            <v>122409</v>
          </cell>
          <cell r="J253">
            <v>4017</v>
          </cell>
        </row>
        <row r="254">
          <cell r="A254" t="str">
            <v>ExamPrep_23EGYouTube</v>
          </cell>
          <cell r="B254">
            <v>45033</v>
          </cell>
          <cell r="C254">
            <v>45033</v>
          </cell>
          <cell r="D254" t="str">
            <v>ExamPrep_23</v>
          </cell>
          <cell r="E254" t="str">
            <v>EG</v>
          </cell>
          <cell r="F254" t="str">
            <v>YouTube</v>
          </cell>
          <cell r="G254">
            <v>9096</v>
          </cell>
          <cell r="H254">
            <v>726535</v>
          </cell>
          <cell r="I254">
            <v>310131</v>
          </cell>
          <cell r="J254">
            <v>1109</v>
          </cell>
        </row>
        <row r="255">
          <cell r="A255" t="str">
            <v>ExamPrep_23EGSocial</v>
          </cell>
          <cell r="B255">
            <v>45033</v>
          </cell>
          <cell r="C255">
            <v>45033</v>
          </cell>
          <cell r="D255" t="str">
            <v>ExamPrep_23</v>
          </cell>
          <cell r="E255" t="str">
            <v>EG</v>
          </cell>
          <cell r="F255" t="str">
            <v>Social</v>
          </cell>
          <cell r="G255">
            <v>16025</v>
          </cell>
          <cell r="H255">
            <v>1293396</v>
          </cell>
          <cell r="I255">
            <v>501662</v>
          </cell>
          <cell r="J255">
            <v>2198</v>
          </cell>
        </row>
        <row r="256">
          <cell r="A256" t="str">
            <v>ExamPrep_23EGDisplay</v>
          </cell>
          <cell r="B256">
            <v>45033</v>
          </cell>
          <cell r="C256">
            <v>45033</v>
          </cell>
          <cell r="D256" t="str">
            <v>ExamPrep_23</v>
          </cell>
          <cell r="E256" t="str">
            <v>EG</v>
          </cell>
          <cell r="F256" t="str">
            <v>Display</v>
          </cell>
          <cell r="G256">
            <v>10871</v>
          </cell>
          <cell r="H256">
            <v>3167046</v>
          </cell>
          <cell r="I256">
            <v>653494</v>
          </cell>
          <cell r="J256">
            <v>326</v>
          </cell>
        </row>
        <row r="257">
          <cell r="A257" t="str">
            <v>ExamPrep_23EGSearch</v>
          </cell>
          <cell r="B257">
            <v>45033</v>
          </cell>
          <cell r="C257">
            <v>45033</v>
          </cell>
          <cell r="D257" t="str">
            <v>ExamPrep_23</v>
          </cell>
          <cell r="E257" t="str">
            <v>EG</v>
          </cell>
          <cell r="F257" t="str">
            <v>Search</v>
          </cell>
          <cell r="G257">
            <v>10632</v>
          </cell>
          <cell r="H257">
            <v>144226</v>
          </cell>
          <cell r="I257">
            <v>126897</v>
          </cell>
          <cell r="J257">
            <v>3099</v>
          </cell>
        </row>
        <row r="258">
          <cell r="A258" t="str">
            <v>ExamPrep_23UKYouTube</v>
          </cell>
          <cell r="B258">
            <v>45040</v>
          </cell>
          <cell r="C258">
            <v>45040</v>
          </cell>
          <cell r="D258" t="str">
            <v>ExamPrep_23</v>
          </cell>
          <cell r="E258" t="str">
            <v>UK</v>
          </cell>
          <cell r="F258" t="str">
            <v>YouTube</v>
          </cell>
          <cell r="G258">
            <v>23466</v>
          </cell>
          <cell r="H258">
            <v>1597392</v>
          </cell>
          <cell r="I258">
            <v>710943</v>
          </cell>
          <cell r="J258">
            <v>788</v>
          </cell>
        </row>
        <row r="259">
          <cell r="A259" t="str">
            <v>ExamPrep_23UKSocial</v>
          </cell>
          <cell r="B259">
            <v>45040</v>
          </cell>
          <cell r="C259">
            <v>45040</v>
          </cell>
          <cell r="D259" t="str">
            <v>ExamPrep_23</v>
          </cell>
          <cell r="E259" t="str">
            <v>UK</v>
          </cell>
          <cell r="F259" t="str">
            <v>Social</v>
          </cell>
          <cell r="G259">
            <v>11803</v>
          </cell>
          <cell r="H259">
            <v>638019</v>
          </cell>
          <cell r="I259">
            <v>297057</v>
          </cell>
          <cell r="J259">
            <v>377</v>
          </cell>
        </row>
        <row r="260">
          <cell r="A260" t="str">
            <v>ExamPrep_23UKDisplay</v>
          </cell>
          <cell r="B260">
            <v>45040</v>
          </cell>
          <cell r="C260">
            <v>45040</v>
          </cell>
          <cell r="D260" t="str">
            <v>ExamPrep_23</v>
          </cell>
          <cell r="E260" t="str">
            <v>UK</v>
          </cell>
          <cell r="F260" t="str">
            <v>Display</v>
          </cell>
          <cell r="G260">
            <v>8594</v>
          </cell>
          <cell r="H260">
            <v>1772550</v>
          </cell>
          <cell r="I260">
            <v>383579</v>
          </cell>
          <cell r="J260">
            <v>71</v>
          </cell>
        </row>
        <row r="261">
          <cell r="A261" t="str">
            <v>ExamPrep_23UKSearch</v>
          </cell>
          <cell r="B261">
            <v>45040</v>
          </cell>
          <cell r="C261">
            <v>45040</v>
          </cell>
          <cell r="D261" t="str">
            <v>ExamPrep_23</v>
          </cell>
          <cell r="E261" t="str">
            <v>UK</v>
          </cell>
          <cell r="F261" t="str">
            <v>Search</v>
          </cell>
          <cell r="G261">
            <v>22035</v>
          </cell>
          <cell r="H261">
            <v>281889</v>
          </cell>
          <cell r="I261">
            <v>241495</v>
          </cell>
          <cell r="J261">
            <v>1674</v>
          </cell>
        </row>
        <row r="262">
          <cell r="A262" t="str">
            <v>ExamPrep_23DEYouTube</v>
          </cell>
          <cell r="B262">
            <v>45040</v>
          </cell>
          <cell r="C262">
            <v>45040</v>
          </cell>
          <cell r="D262" t="str">
            <v>ExamPrep_23</v>
          </cell>
          <cell r="E262" t="str">
            <v>DE</v>
          </cell>
          <cell r="F262" t="str">
            <v>YouTube</v>
          </cell>
          <cell r="G262">
            <v>15338</v>
          </cell>
          <cell r="H262">
            <v>1073216</v>
          </cell>
          <cell r="I262">
            <v>448040</v>
          </cell>
          <cell r="J262">
            <v>562</v>
          </cell>
        </row>
        <row r="263">
          <cell r="A263" t="str">
            <v>ExamPrep_23DESocial</v>
          </cell>
          <cell r="B263">
            <v>45040</v>
          </cell>
          <cell r="C263">
            <v>45040</v>
          </cell>
          <cell r="D263" t="str">
            <v>ExamPrep_23</v>
          </cell>
          <cell r="E263" t="str">
            <v>DE</v>
          </cell>
          <cell r="F263" t="str">
            <v>Social</v>
          </cell>
          <cell r="G263">
            <v>13480</v>
          </cell>
          <cell r="H263">
            <v>988508</v>
          </cell>
          <cell r="I263">
            <v>377056</v>
          </cell>
          <cell r="J263">
            <v>474</v>
          </cell>
        </row>
        <row r="264">
          <cell r="A264" t="str">
            <v>ExamPrep_23DEDisplay</v>
          </cell>
          <cell r="B264">
            <v>45040</v>
          </cell>
          <cell r="C264">
            <v>45040</v>
          </cell>
          <cell r="D264" t="str">
            <v>ExamPrep_23</v>
          </cell>
          <cell r="E264" t="str">
            <v>DE</v>
          </cell>
          <cell r="F264" t="str">
            <v>Display</v>
          </cell>
          <cell r="G264">
            <v>13550</v>
          </cell>
          <cell r="H264">
            <v>3291437</v>
          </cell>
          <cell r="I264">
            <v>585284</v>
          </cell>
          <cell r="J264">
            <v>110</v>
          </cell>
        </row>
        <row r="265">
          <cell r="A265" t="str">
            <v>ExamPrep_23DESearch</v>
          </cell>
          <cell r="B265">
            <v>45040</v>
          </cell>
          <cell r="C265">
            <v>45040</v>
          </cell>
          <cell r="D265" t="str">
            <v>ExamPrep_23</v>
          </cell>
          <cell r="E265" t="str">
            <v>DE</v>
          </cell>
          <cell r="F265" t="str">
            <v>Search</v>
          </cell>
          <cell r="G265">
            <v>19435</v>
          </cell>
          <cell r="H265">
            <v>256095</v>
          </cell>
          <cell r="I265">
            <v>221989</v>
          </cell>
          <cell r="J265">
            <v>1540</v>
          </cell>
        </row>
        <row r="266">
          <cell r="A266" t="str">
            <v>ExamPrep_23SAYouTube</v>
          </cell>
          <cell r="B266">
            <v>45040</v>
          </cell>
          <cell r="C266">
            <v>45040</v>
          </cell>
          <cell r="D266" t="str">
            <v>ExamPrep_23</v>
          </cell>
          <cell r="E266" t="str">
            <v>SA</v>
          </cell>
          <cell r="F266" t="str">
            <v>YouTube</v>
          </cell>
          <cell r="G266">
            <v>8895</v>
          </cell>
          <cell r="H266">
            <v>767780</v>
          </cell>
          <cell r="I266">
            <v>264318</v>
          </cell>
          <cell r="J266">
            <v>1209</v>
          </cell>
        </row>
        <row r="267">
          <cell r="A267" t="str">
            <v>ExamPrep_23SASocial</v>
          </cell>
          <cell r="B267">
            <v>45040</v>
          </cell>
          <cell r="C267">
            <v>45040</v>
          </cell>
          <cell r="D267" t="str">
            <v>ExamPrep_23</v>
          </cell>
          <cell r="E267" t="str">
            <v>SA</v>
          </cell>
          <cell r="F267" t="str">
            <v>Social</v>
          </cell>
          <cell r="G267">
            <v>7534</v>
          </cell>
          <cell r="H267">
            <v>560266</v>
          </cell>
          <cell r="I267">
            <v>191356</v>
          </cell>
          <cell r="J267">
            <v>910</v>
          </cell>
        </row>
        <row r="268">
          <cell r="A268" t="str">
            <v>ExamPrep_23SADisplay</v>
          </cell>
          <cell r="B268">
            <v>45040</v>
          </cell>
          <cell r="C268">
            <v>45040</v>
          </cell>
          <cell r="D268" t="str">
            <v>ExamPrep_23</v>
          </cell>
          <cell r="E268" t="str">
            <v>SA</v>
          </cell>
          <cell r="F268" t="str">
            <v>Display</v>
          </cell>
          <cell r="G268">
            <v>4770</v>
          </cell>
          <cell r="H268">
            <v>1268603</v>
          </cell>
          <cell r="I268">
            <v>229664</v>
          </cell>
          <cell r="J268">
            <v>163</v>
          </cell>
        </row>
        <row r="269">
          <cell r="A269" t="str">
            <v>ExamPrep_23SASearch</v>
          </cell>
          <cell r="B269">
            <v>45040</v>
          </cell>
          <cell r="C269">
            <v>45040</v>
          </cell>
          <cell r="D269" t="str">
            <v>ExamPrep_23</v>
          </cell>
          <cell r="E269" t="str">
            <v>SA</v>
          </cell>
          <cell r="F269" t="str">
            <v>Search</v>
          </cell>
          <cell r="G269">
            <v>15041</v>
          </cell>
          <cell r="H269">
            <v>184218</v>
          </cell>
          <cell r="I269">
            <v>166141</v>
          </cell>
          <cell r="J269">
            <v>4554</v>
          </cell>
        </row>
        <row r="270">
          <cell r="A270" t="str">
            <v>ExamPrep_23EGYouTube</v>
          </cell>
          <cell r="B270">
            <v>45040</v>
          </cell>
          <cell r="C270">
            <v>45040</v>
          </cell>
          <cell r="D270" t="str">
            <v>ExamPrep_23</v>
          </cell>
          <cell r="E270" t="str">
            <v>EG</v>
          </cell>
          <cell r="F270" t="str">
            <v>YouTube</v>
          </cell>
          <cell r="G270">
            <v>7852</v>
          </cell>
          <cell r="H270">
            <v>538923</v>
          </cell>
          <cell r="I270">
            <v>207080</v>
          </cell>
          <cell r="J270">
            <v>931</v>
          </cell>
        </row>
        <row r="271">
          <cell r="A271" t="str">
            <v>ExamPrep_23EGSocial</v>
          </cell>
          <cell r="B271">
            <v>45040</v>
          </cell>
          <cell r="C271">
            <v>45040</v>
          </cell>
          <cell r="D271" t="str">
            <v>ExamPrep_23</v>
          </cell>
          <cell r="E271" t="str">
            <v>EG</v>
          </cell>
          <cell r="F271" t="str">
            <v>Social</v>
          </cell>
          <cell r="G271">
            <v>15641</v>
          </cell>
          <cell r="H271">
            <v>1070909</v>
          </cell>
          <cell r="I271">
            <v>433045</v>
          </cell>
          <cell r="J271">
            <v>1800</v>
          </cell>
        </row>
        <row r="272">
          <cell r="A272" t="str">
            <v>ExamPrep_23EGDisplay</v>
          </cell>
          <cell r="B272">
            <v>45040</v>
          </cell>
          <cell r="C272">
            <v>45040</v>
          </cell>
          <cell r="D272" t="str">
            <v>ExamPrep_23</v>
          </cell>
          <cell r="E272" t="str">
            <v>EG</v>
          </cell>
          <cell r="F272" t="str">
            <v>Display</v>
          </cell>
          <cell r="G272">
            <v>6690</v>
          </cell>
          <cell r="H272">
            <v>1360877</v>
          </cell>
          <cell r="I272">
            <v>284761</v>
          </cell>
          <cell r="J272">
            <v>199</v>
          </cell>
        </row>
        <row r="273">
          <cell r="A273" t="str">
            <v>ExamPrep_23EGSearch</v>
          </cell>
          <cell r="B273">
            <v>45040</v>
          </cell>
          <cell r="C273">
            <v>45040</v>
          </cell>
          <cell r="D273" t="str">
            <v>ExamPrep_23</v>
          </cell>
          <cell r="E273" t="str">
            <v>EG</v>
          </cell>
          <cell r="F273" t="str">
            <v>Search</v>
          </cell>
          <cell r="G273">
            <v>9737</v>
          </cell>
          <cell r="H273">
            <v>98814</v>
          </cell>
          <cell r="I273">
            <v>82684</v>
          </cell>
          <cell r="J273">
            <v>3205</v>
          </cell>
        </row>
        <row r="274">
          <cell r="A274" t="str">
            <v>ExamPrep_23UKYouTube</v>
          </cell>
          <cell r="B274">
            <v>45047</v>
          </cell>
          <cell r="C274">
            <v>45047</v>
          </cell>
          <cell r="D274" t="str">
            <v>ExamPrep_23</v>
          </cell>
          <cell r="E274" t="str">
            <v>UK</v>
          </cell>
          <cell r="F274" t="str">
            <v>YouTube</v>
          </cell>
          <cell r="G274">
            <v>16723</v>
          </cell>
          <cell r="H274">
            <v>1016568</v>
          </cell>
          <cell r="I274">
            <v>484635</v>
          </cell>
          <cell r="J274">
            <v>508</v>
          </cell>
        </row>
        <row r="275">
          <cell r="A275" t="str">
            <v>ExamPrep_23UKSocial</v>
          </cell>
          <cell r="B275">
            <v>45047</v>
          </cell>
          <cell r="C275">
            <v>45047</v>
          </cell>
          <cell r="D275" t="str">
            <v>ExamPrep_23</v>
          </cell>
          <cell r="E275" t="str">
            <v>UK</v>
          </cell>
          <cell r="F275" t="str">
            <v>Social</v>
          </cell>
          <cell r="G275">
            <v>28580</v>
          </cell>
          <cell r="H275">
            <v>1819432</v>
          </cell>
          <cell r="I275">
            <v>697889</v>
          </cell>
          <cell r="J275">
            <v>929</v>
          </cell>
        </row>
        <row r="276">
          <cell r="A276" t="str">
            <v>ExamPrep_23UKDisplay</v>
          </cell>
          <cell r="B276">
            <v>45047</v>
          </cell>
          <cell r="C276">
            <v>45047</v>
          </cell>
          <cell r="D276" t="str">
            <v>ExamPrep_23</v>
          </cell>
          <cell r="E276" t="str">
            <v>UK</v>
          </cell>
          <cell r="F276" t="str">
            <v>Display</v>
          </cell>
          <cell r="G276">
            <v>13940</v>
          </cell>
          <cell r="H276">
            <v>4177206</v>
          </cell>
          <cell r="I276">
            <v>1020650</v>
          </cell>
          <cell r="J276">
            <v>117</v>
          </cell>
        </row>
        <row r="277">
          <cell r="A277" t="str">
            <v>ExamPrep_23UKSearch</v>
          </cell>
          <cell r="B277">
            <v>45047</v>
          </cell>
          <cell r="C277">
            <v>45047</v>
          </cell>
          <cell r="D277" t="str">
            <v>ExamPrep_23</v>
          </cell>
          <cell r="E277" t="str">
            <v>UK</v>
          </cell>
          <cell r="F277" t="str">
            <v>Search</v>
          </cell>
          <cell r="G277">
            <v>19249</v>
          </cell>
          <cell r="H277">
            <v>241009</v>
          </cell>
          <cell r="I277">
            <v>212146</v>
          </cell>
          <cell r="J277">
            <v>1495</v>
          </cell>
        </row>
        <row r="278">
          <cell r="A278" t="str">
            <v>ExamPrep_23DEYouTube</v>
          </cell>
          <cell r="B278">
            <v>45047</v>
          </cell>
          <cell r="C278">
            <v>45047</v>
          </cell>
          <cell r="D278" t="str">
            <v>ExamPrep_23</v>
          </cell>
          <cell r="E278" t="str">
            <v>DE</v>
          </cell>
          <cell r="F278" t="str">
            <v>YouTube</v>
          </cell>
          <cell r="G278">
            <v>13711</v>
          </cell>
          <cell r="H278">
            <v>921291</v>
          </cell>
          <cell r="I278">
            <v>379131</v>
          </cell>
          <cell r="J278">
            <v>478</v>
          </cell>
        </row>
        <row r="279">
          <cell r="A279" t="str">
            <v>ExamPrep_23DESocial</v>
          </cell>
          <cell r="B279">
            <v>45047</v>
          </cell>
          <cell r="C279">
            <v>45047</v>
          </cell>
          <cell r="D279" t="str">
            <v>ExamPrep_23</v>
          </cell>
          <cell r="E279" t="str">
            <v>DE</v>
          </cell>
          <cell r="F279" t="str">
            <v>Social</v>
          </cell>
          <cell r="G279">
            <v>14107</v>
          </cell>
          <cell r="H279">
            <v>1102968</v>
          </cell>
          <cell r="I279">
            <v>544975</v>
          </cell>
          <cell r="J279">
            <v>460</v>
          </cell>
        </row>
        <row r="280">
          <cell r="A280" t="str">
            <v>ExamPrep_23DEDisplay</v>
          </cell>
          <cell r="B280">
            <v>45047</v>
          </cell>
          <cell r="C280">
            <v>45047</v>
          </cell>
          <cell r="D280" t="str">
            <v>ExamPrep_23</v>
          </cell>
          <cell r="E280" t="str">
            <v>DE</v>
          </cell>
          <cell r="F280" t="str">
            <v>Display</v>
          </cell>
          <cell r="G280">
            <v>12271</v>
          </cell>
          <cell r="H280">
            <v>3158079</v>
          </cell>
          <cell r="I280">
            <v>713620</v>
          </cell>
          <cell r="J280">
            <v>112</v>
          </cell>
        </row>
        <row r="281">
          <cell r="A281" t="str">
            <v>ExamPrep_23DESearch</v>
          </cell>
          <cell r="B281">
            <v>45047</v>
          </cell>
          <cell r="C281">
            <v>45047</v>
          </cell>
          <cell r="D281" t="str">
            <v>ExamPrep_23</v>
          </cell>
          <cell r="E281" t="str">
            <v>DE</v>
          </cell>
          <cell r="F281" t="str">
            <v>Search</v>
          </cell>
          <cell r="G281">
            <v>20828</v>
          </cell>
          <cell r="H281">
            <v>275987</v>
          </cell>
          <cell r="I281">
            <v>249117</v>
          </cell>
          <cell r="J281">
            <v>1670</v>
          </cell>
        </row>
        <row r="282">
          <cell r="A282" t="str">
            <v>ExamPrep_23SAYouTube</v>
          </cell>
          <cell r="B282">
            <v>45047</v>
          </cell>
          <cell r="C282">
            <v>45047</v>
          </cell>
          <cell r="D282" t="str">
            <v>ExamPrep_23</v>
          </cell>
          <cell r="E282" t="str">
            <v>SA</v>
          </cell>
          <cell r="F282" t="str">
            <v>YouTube</v>
          </cell>
          <cell r="G282">
            <v>11326</v>
          </cell>
          <cell r="H282">
            <v>1008229</v>
          </cell>
          <cell r="I282">
            <v>491300</v>
          </cell>
          <cell r="J282">
            <v>1450</v>
          </cell>
        </row>
        <row r="283">
          <cell r="A283" t="str">
            <v>ExamPrep_23SASocial</v>
          </cell>
          <cell r="B283">
            <v>45047</v>
          </cell>
          <cell r="C283">
            <v>45047</v>
          </cell>
          <cell r="D283" t="str">
            <v>ExamPrep_23</v>
          </cell>
          <cell r="E283" t="str">
            <v>SA</v>
          </cell>
          <cell r="F283" t="str">
            <v>Social</v>
          </cell>
          <cell r="G283">
            <v>13772</v>
          </cell>
          <cell r="H283">
            <v>886977</v>
          </cell>
          <cell r="I283">
            <v>362193</v>
          </cell>
          <cell r="J283">
            <v>1786</v>
          </cell>
        </row>
        <row r="284">
          <cell r="A284" t="str">
            <v>ExamPrep_23SADisplay</v>
          </cell>
          <cell r="B284">
            <v>45047</v>
          </cell>
          <cell r="C284">
            <v>45047</v>
          </cell>
          <cell r="D284" t="str">
            <v>ExamPrep_23</v>
          </cell>
          <cell r="E284" t="str">
            <v>SA</v>
          </cell>
          <cell r="F284" t="str">
            <v>Display</v>
          </cell>
          <cell r="G284">
            <v>9053</v>
          </cell>
          <cell r="H284">
            <v>2229999</v>
          </cell>
          <cell r="I284">
            <v>464487</v>
          </cell>
          <cell r="J284">
            <v>269</v>
          </cell>
        </row>
        <row r="285">
          <cell r="A285" t="str">
            <v>ExamPrep_23SASearch</v>
          </cell>
          <cell r="B285">
            <v>45047</v>
          </cell>
          <cell r="C285">
            <v>45047</v>
          </cell>
          <cell r="D285" t="str">
            <v>ExamPrep_23</v>
          </cell>
          <cell r="E285" t="str">
            <v>SA</v>
          </cell>
          <cell r="F285" t="str">
            <v>Search</v>
          </cell>
          <cell r="G285">
            <v>13694</v>
          </cell>
          <cell r="H285">
            <v>146495</v>
          </cell>
          <cell r="I285">
            <v>129794</v>
          </cell>
          <cell r="J285">
            <v>4297</v>
          </cell>
        </row>
        <row r="286">
          <cell r="A286" t="str">
            <v>ExamPrep_23EGYouTube</v>
          </cell>
          <cell r="B286">
            <v>45047</v>
          </cell>
          <cell r="C286">
            <v>45047</v>
          </cell>
          <cell r="D286" t="str">
            <v>ExamPrep_23</v>
          </cell>
          <cell r="E286" t="str">
            <v>EG</v>
          </cell>
          <cell r="F286" t="str">
            <v>YouTube</v>
          </cell>
          <cell r="G286">
            <v>15100</v>
          </cell>
          <cell r="H286">
            <v>1291585</v>
          </cell>
          <cell r="I286">
            <v>555195</v>
          </cell>
          <cell r="J286">
            <v>2019</v>
          </cell>
        </row>
        <row r="287">
          <cell r="A287" t="str">
            <v>ExamPrep_23EGSocial</v>
          </cell>
          <cell r="B287">
            <v>45047</v>
          </cell>
          <cell r="C287">
            <v>45047</v>
          </cell>
          <cell r="D287" t="str">
            <v>ExamPrep_23</v>
          </cell>
          <cell r="E287" t="str">
            <v>EG</v>
          </cell>
          <cell r="F287" t="str">
            <v>Social</v>
          </cell>
          <cell r="G287">
            <v>16583</v>
          </cell>
          <cell r="H287">
            <v>986843</v>
          </cell>
          <cell r="I287">
            <v>340982</v>
          </cell>
          <cell r="J287">
            <v>1906</v>
          </cell>
        </row>
        <row r="288">
          <cell r="A288" t="str">
            <v>ExamPrep_23EGDisplay</v>
          </cell>
          <cell r="B288">
            <v>45047</v>
          </cell>
          <cell r="C288">
            <v>45047</v>
          </cell>
          <cell r="D288" t="str">
            <v>ExamPrep_23</v>
          </cell>
          <cell r="E288" t="str">
            <v>EG</v>
          </cell>
          <cell r="F288" t="str">
            <v>Display</v>
          </cell>
          <cell r="G288">
            <v>6169</v>
          </cell>
          <cell r="H288">
            <v>1377122</v>
          </cell>
          <cell r="I288">
            <v>306147</v>
          </cell>
          <cell r="J288">
            <v>196</v>
          </cell>
        </row>
        <row r="289">
          <cell r="A289" t="str">
            <v>ExamPrep_23EGSearch</v>
          </cell>
          <cell r="B289">
            <v>45047</v>
          </cell>
          <cell r="C289">
            <v>45047</v>
          </cell>
          <cell r="D289" t="str">
            <v>ExamPrep_23</v>
          </cell>
          <cell r="E289" t="str">
            <v>EG</v>
          </cell>
          <cell r="F289" t="str">
            <v>Search</v>
          </cell>
          <cell r="G289">
            <v>10061</v>
          </cell>
          <cell r="H289">
            <v>136576</v>
          </cell>
          <cell r="I289">
            <v>123638</v>
          </cell>
          <cell r="J289">
            <v>2932</v>
          </cell>
        </row>
        <row r="290">
          <cell r="A290" t="str">
            <v>ExamPrep_23UKYouTube</v>
          </cell>
          <cell r="B290">
            <v>45054</v>
          </cell>
          <cell r="C290">
            <v>45054</v>
          </cell>
          <cell r="D290" t="str">
            <v>ExamPrep_23</v>
          </cell>
          <cell r="E290" t="str">
            <v>UK</v>
          </cell>
          <cell r="F290" t="str">
            <v>YouTube</v>
          </cell>
          <cell r="G290">
            <v>12439</v>
          </cell>
          <cell r="H290">
            <v>915955</v>
          </cell>
          <cell r="I290">
            <v>443907</v>
          </cell>
          <cell r="J290">
            <v>412</v>
          </cell>
        </row>
        <row r="291">
          <cell r="A291" t="str">
            <v>ExamPrep_23UKSocial</v>
          </cell>
          <cell r="B291">
            <v>45054</v>
          </cell>
          <cell r="C291">
            <v>45054</v>
          </cell>
          <cell r="D291" t="str">
            <v>ExamPrep_23</v>
          </cell>
          <cell r="E291" t="str">
            <v>UK</v>
          </cell>
          <cell r="F291" t="str">
            <v>Social</v>
          </cell>
          <cell r="G291">
            <v>18963</v>
          </cell>
          <cell r="H291">
            <v>980295</v>
          </cell>
          <cell r="I291">
            <v>468773</v>
          </cell>
          <cell r="J291">
            <v>656</v>
          </cell>
        </row>
        <row r="292">
          <cell r="A292" t="str">
            <v>ExamPrep_23UKDisplay</v>
          </cell>
          <cell r="B292">
            <v>45054</v>
          </cell>
          <cell r="C292">
            <v>45054</v>
          </cell>
          <cell r="D292" t="str">
            <v>ExamPrep_23</v>
          </cell>
          <cell r="E292" t="str">
            <v>UK</v>
          </cell>
          <cell r="F292" t="str">
            <v>Display</v>
          </cell>
          <cell r="G292">
            <v>13967</v>
          </cell>
          <cell r="H292">
            <v>3207963</v>
          </cell>
          <cell r="I292">
            <v>716912</v>
          </cell>
          <cell r="J292">
            <v>124</v>
          </cell>
        </row>
        <row r="293">
          <cell r="A293" t="str">
            <v>ExamPrep_23UKSearch</v>
          </cell>
          <cell r="B293">
            <v>45054</v>
          </cell>
          <cell r="C293">
            <v>45054</v>
          </cell>
          <cell r="D293" t="str">
            <v>ExamPrep_23</v>
          </cell>
          <cell r="E293" t="str">
            <v>UK</v>
          </cell>
          <cell r="F293" t="str">
            <v>Search</v>
          </cell>
          <cell r="G293">
            <v>16234</v>
          </cell>
          <cell r="H293">
            <v>205383</v>
          </cell>
          <cell r="I293">
            <v>174045</v>
          </cell>
          <cell r="J293">
            <v>1457</v>
          </cell>
        </row>
        <row r="294">
          <cell r="A294" t="str">
            <v>ExamPrep_23DEYouTube</v>
          </cell>
          <cell r="B294">
            <v>45054</v>
          </cell>
          <cell r="C294">
            <v>45054</v>
          </cell>
          <cell r="D294" t="str">
            <v>ExamPrep_23</v>
          </cell>
          <cell r="E294" t="str">
            <v>DE</v>
          </cell>
          <cell r="F294" t="str">
            <v>YouTube</v>
          </cell>
          <cell r="G294">
            <v>20949</v>
          </cell>
          <cell r="H294">
            <v>1713812</v>
          </cell>
          <cell r="I294">
            <v>710622</v>
          </cell>
          <cell r="J294">
            <v>750</v>
          </cell>
        </row>
        <row r="295">
          <cell r="A295" t="str">
            <v>ExamPrep_23DESocial</v>
          </cell>
          <cell r="B295">
            <v>45054</v>
          </cell>
          <cell r="C295">
            <v>45054</v>
          </cell>
          <cell r="D295" t="str">
            <v>ExamPrep_23</v>
          </cell>
          <cell r="E295" t="str">
            <v>DE</v>
          </cell>
          <cell r="F295" t="str">
            <v>Social</v>
          </cell>
          <cell r="G295">
            <v>24892</v>
          </cell>
          <cell r="H295">
            <v>1335043</v>
          </cell>
          <cell r="I295">
            <v>477129</v>
          </cell>
          <cell r="J295">
            <v>776</v>
          </cell>
        </row>
        <row r="296">
          <cell r="A296" t="str">
            <v>ExamPrep_23DEDisplay</v>
          </cell>
          <cell r="B296">
            <v>45054</v>
          </cell>
          <cell r="C296">
            <v>45054</v>
          </cell>
          <cell r="D296" t="str">
            <v>ExamPrep_23</v>
          </cell>
          <cell r="E296" t="str">
            <v>DE</v>
          </cell>
          <cell r="F296" t="str">
            <v>Display</v>
          </cell>
          <cell r="G296">
            <v>10033</v>
          </cell>
          <cell r="H296">
            <v>2873314</v>
          </cell>
          <cell r="I296">
            <v>525837</v>
          </cell>
          <cell r="J296">
            <v>87</v>
          </cell>
        </row>
        <row r="297">
          <cell r="A297" t="str">
            <v>ExamPrep_23DESearch</v>
          </cell>
          <cell r="B297">
            <v>45054</v>
          </cell>
          <cell r="C297">
            <v>45054</v>
          </cell>
          <cell r="D297" t="str">
            <v>ExamPrep_23</v>
          </cell>
          <cell r="E297" t="str">
            <v>DE</v>
          </cell>
          <cell r="F297" t="str">
            <v>Search</v>
          </cell>
          <cell r="G297">
            <v>11765</v>
          </cell>
          <cell r="H297">
            <v>133000</v>
          </cell>
          <cell r="I297">
            <v>120109</v>
          </cell>
          <cell r="J297">
            <v>1052</v>
          </cell>
        </row>
        <row r="298">
          <cell r="A298" t="str">
            <v>ExamPrep_23SAYouTube</v>
          </cell>
          <cell r="B298">
            <v>45054</v>
          </cell>
          <cell r="C298">
            <v>45054</v>
          </cell>
          <cell r="D298" t="str">
            <v>ExamPrep_23</v>
          </cell>
          <cell r="E298" t="str">
            <v>SA</v>
          </cell>
          <cell r="F298" t="str">
            <v>YouTube</v>
          </cell>
          <cell r="G298">
            <v>10425</v>
          </cell>
          <cell r="H298">
            <v>840987</v>
          </cell>
          <cell r="I298">
            <v>319654</v>
          </cell>
          <cell r="J298">
            <v>1197</v>
          </cell>
        </row>
        <row r="299">
          <cell r="A299" t="str">
            <v>ExamPrep_23SASocial</v>
          </cell>
          <cell r="B299">
            <v>45054</v>
          </cell>
          <cell r="C299">
            <v>45054</v>
          </cell>
          <cell r="D299" t="str">
            <v>ExamPrep_23</v>
          </cell>
          <cell r="E299" t="str">
            <v>SA</v>
          </cell>
          <cell r="F299" t="str">
            <v>Social</v>
          </cell>
          <cell r="G299">
            <v>13406</v>
          </cell>
          <cell r="H299">
            <v>1193122</v>
          </cell>
          <cell r="I299">
            <v>416097</v>
          </cell>
          <cell r="J299">
            <v>1525</v>
          </cell>
        </row>
        <row r="300">
          <cell r="A300" t="str">
            <v>ExamPrep_23SADisplay</v>
          </cell>
          <cell r="B300">
            <v>45054</v>
          </cell>
          <cell r="C300">
            <v>45054</v>
          </cell>
          <cell r="D300" t="str">
            <v>ExamPrep_23</v>
          </cell>
          <cell r="E300" t="str">
            <v>SA</v>
          </cell>
          <cell r="F300" t="str">
            <v>Display</v>
          </cell>
          <cell r="G300">
            <v>7382</v>
          </cell>
          <cell r="H300">
            <v>1645995</v>
          </cell>
          <cell r="I300">
            <v>325556</v>
          </cell>
          <cell r="J300">
            <v>221</v>
          </cell>
        </row>
        <row r="301">
          <cell r="A301" t="str">
            <v>ExamPrep_23SASearch</v>
          </cell>
          <cell r="B301">
            <v>45054</v>
          </cell>
          <cell r="C301">
            <v>45054</v>
          </cell>
          <cell r="D301" t="str">
            <v>ExamPrep_23</v>
          </cell>
          <cell r="E301" t="str">
            <v>SA</v>
          </cell>
          <cell r="F301" t="str">
            <v>Search</v>
          </cell>
          <cell r="G301">
            <v>10532</v>
          </cell>
          <cell r="H301">
            <v>150201</v>
          </cell>
          <cell r="I301">
            <v>126189</v>
          </cell>
          <cell r="J301">
            <v>3218</v>
          </cell>
        </row>
        <row r="302">
          <cell r="A302" t="str">
            <v>ExamPrep_23EGYouTube</v>
          </cell>
          <cell r="B302">
            <v>45054</v>
          </cell>
          <cell r="C302">
            <v>45054</v>
          </cell>
          <cell r="D302" t="str">
            <v>ExamPrep_23</v>
          </cell>
          <cell r="E302" t="str">
            <v>EG</v>
          </cell>
          <cell r="F302" t="str">
            <v>YouTube</v>
          </cell>
          <cell r="G302">
            <v>10157</v>
          </cell>
          <cell r="H302">
            <v>763133</v>
          </cell>
          <cell r="I302">
            <v>274963</v>
          </cell>
          <cell r="J302">
            <v>1179</v>
          </cell>
        </row>
        <row r="303">
          <cell r="A303" t="str">
            <v>ExamPrep_23EGSocial</v>
          </cell>
          <cell r="B303">
            <v>45054</v>
          </cell>
          <cell r="C303">
            <v>45054</v>
          </cell>
          <cell r="D303" t="str">
            <v>ExamPrep_23</v>
          </cell>
          <cell r="E303" t="str">
            <v>EG</v>
          </cell>
          <cell r="F303" t="str">
            <v>Social</v>
          </cell>
          <cell r="G303">
            <v>8974</v>
          </cell>
          <cell r="H303">
            <v>734233</v>
          </cell>
          <cell r="I303">
            <v>264850</v>
          </cell>
          <cell r="J303">
            <v>1066</v>
          </cell>
        </row>
        <row r="304">
          <cell r="A304" t="str">
            <v>ExamPrep_23EGDisplay</v>
          </cell>
          <cell r="B304">
            <v>45054</v>
          </cell>
          <cell r="C304">
            <v>45054</v>
          </cell>
          <cell r="D304" t="str">
            <v>ExamPrep_23</v>
          </cell>
          <cell r="E304" t="str">
            <v>EG</v>
          </cell>
          <cell r="F304" t="str">
            <v>Display</v>
          </cell>
          <cell r="G304">
            <v>6852</v>
          </cell>
          <cell r="H304">
            <v>2021560</v>
          </cell>
          <cell r="I304">
            <v>365256</v>
          </cell>
          <cell r="J304">
            <v>237</v>
          </cell>
        </row>
        <row r="305">
          <cell r="A305" t="str">
            <v>ExamPrep_23EGSearch</v>
          </cell>
          <cell r="B305">
            <v>45054</v>
          </cell>
          <cell r="C305">
            <v>45054</v>
          </cell>
          <cell r="D305" t="str">
            <v>ExamPrep_23</v>
          </cell>
          <cell r="E305" t="str">
            <v>EG</v>
          </cell>
          <cell r="F305" t="str">
            <v>Search</v>
          </cell>
          <cell r="G305">
            <v>9248</v>
          </cell>
          <cell r="H305">
            <v>99737</v>
          </cell>
          <cell r="I305">
            <v>89900</v>
          </cell>
          <cell r="J305">
            <v>2902</v>
          </cell>
        </row>
        <row r="306">
          <cell r="A306" t="str">
            <v>ExamPrep_23UKYouTube</v>
          </cell>
          <cell r="B306">
            <v>45061</v>
          </cell>
          <cell r="C306">
            <v>45061</v>
          </cell>
          <cell r="D306" t="str">
            <v>ExamPrep_23</v>
          </cell>
          <cell r="E306" t="str">
            <v>UK</v>
          </cell>
          <cell r="F306" t="str">
            <v>YouTube</v>
          </cell>
          <cell r="G306">
            <v>22215</v>
          </cell>
          <cell r="H306">
            <v>1541981</v>
          </cell>
          <cell r="I306">
            <v>614402</v>
          </cell>
          <cell r="J306">
            <v>802</v>
          </cell>
        </row>
        <row r="307">
          <cell r="A307" t="str">
            <v>ExamPrep_23UKSocial</v>
          </cell>
          <cell r="B307">
            <v>45061</v>
          </cell>
          <cell r="C307">
            <v>45061</v>
          </cell>
          <cell r="D307" t="str">
            <v>ExamPrep_23</v>
          </cell>
          <cell r="E307" t="str">
            <v>UK</v>
          </cell>
          <cell r="F307" t="str">
            <v>Social</v>
          </cell>
          <cell r="G307">
            <v>24427</v>
          </cell>
          <cell r="H307">
            <v>1586804</v>
          </cell>
          <cell r="I307">
            <v>535290</v>
          </cell>
          <cell r="J307">
            <v>798</v>
          </cell>
        </row>
        <row r="308">
          <cell r="A308" t="str">
            <v>ExamPrep_23UKDisplay</v>
          </cell>
          <cell r="B308">
            <v>45061</v>
          </cell>
          <cell r="C308">
            <v>45061</v>
          </cell>
          <cell r="D308" t="str">
            <v>ExamPrep_23</v>
          </cell>
          <cell r="E308" t="str">
            <v>UK</v>
          </cell>
          <cell r="F308" t="str">
            <v>Display</v>
          </cell>
          <cell r="G308">
            <v>14633</v>
          </cell>
          <cell r="H308">
            <v>3296385</v>
          </cell>
          <cell r="I308">
            <v>715668</v>
          </cell>
          <cell r="J308">
            <v>118</v>
          </cell>
        </row>
        <row r="309">
          <cell r="A309" t="str">
            <v>ExamPrep_23UKSearch</v>
          </cell>
          <cell r="B309">
            <v>45061</v>
          </cell>
          <cell r="C309">
            <v>45061</v>
          </cell>
          <cell r="D309" t="str">
            <v>ExamPrep_23</v>
          </cell>
          <cell r="E309" t="str">
            <v>UK</v>
          </cell>
          <cell r="F309" t="str">
            <v>Search</v>
          </cell>
          <cell r="G309">
            <v>16078</v>
          </cell>
          <cell r="H309">
            <v>221962</v>
          </cell>
          <cell r="I309">
            <v>195375</v>
          </cell>
          <cell r="J309">
            <v>1266</v>
          </cell>
        </row>
        <row r="310">
          <cell r="A310" t="str">
            <v>ExamPrep_23DEYouTube</v>
          </cell>
          <cell r="B310">
            <v>45061</v>
          </cell>
          <cell r="C310">
            <v>45061</v>
          </cell>
          <cell r="D310" t="str">
            <v>ExamPrep_23</v>
          </cell>
          <cell r="E310" t="str">
            <v>DE</v>
          </cell>
          <cell r="F310" t="str">
            <v>YouTube</v>
          </cell>
          <cell r="G310">
            <v>20810</v>
          </cell>
          <cell r="H310">
            <v>1543564</v>
          </cell>
          <cell r="I310">
            <v>542654</v>
          </cell>
          <cell r="J310">
            <v>710</v>
          </cell>
        </row>
        <row r="311">
          <cell r="A311" t="str">
            <v>ExamPrep_23DESocial</v>
          </cell>
          <cell r="B311">
            <v>45061</v>
          </cell>
          <cell r="C311">
            <v>45061</v>
          </cell>
          <cell r="D311" t="str">
            <v>ExamPrep_23</v>
          </cell>
          <cell r="E311" t="str">
            <v>DE</v>
          </cell>
          <cell r="F311" t="str">
            <v>Social</v>
          </cell>
          <cell r="G311">
            <v>21732</v>
          </cell>
          <cell r="H311">
            <v>1401455</v>
          </cell>
          <cell r="I311">
            <v>545996</v>
          </cell>
          <cell r="J311">
            <v>713</v>
          </cell>
        </row>
        <row r="312">
          <cell r="A312" t="str">
            <v>ExamPrep_23DEDisplay</v>
          </cell>
          <cell r="B312">
            <v>45061</v>
          </cell>
          <cell r="C312">
            <v>45061</v>
          </cell>
          <cell r="D312" t="str">
            <v>ExamPrep_23</v>
          </cell>
          <cell r="E312" t="str">
            <v>DE</v>
          </cell>
          <cell r="F312" t="str">
            <v>Display</v>
          </cell>
          <cell r="G312">
            <v>8844</v>
          </cell>
          <cell r="H312">
            <v>2523107</v>
          </cell>
          <cell r="I312">
            <v>564880</v>
          </cell>
          <cell r="J312">
            <v>78</v>
          </cell>
        </row>
        <row r="313">
          <cell r="A313" t="str">
            <v>ExamPrep_23DESearch</v>
          </cell>
          <cell r="B313">
            <v>45061</v>
          </cell>
          <cell r="C313">
            <v>45061</v>
          </cell>
          <cell r="D313" t="str">
            <v>ExamPrep_23</v>
          </cell>
          <cell r="E313" t="str">
            <v>DE</v>
          </cell>
          <cell r="F313" t="str">
            <v>Search</v>
          </cell>
          <cell r="G313">
            <v>16322</v>
          </cell>
          <cell r="H313">
            <v>237541</v>
          </cell>
          <cell r="I313">
            <v>206285</v>
          </cell>
          <cell r="J313">
            <v>1259</v>
          </cell>
        </row>
        <row r="314">
          <cell r="A314" t="str">
            <v>ExamPrep_23SAYouTube</v>
          </cell>
          <cell r="B314">
            <v>45061</v>
          </cell>
          <cell r="C314">
            <v>45061</v>
          </cell>
          <cell r="D314" t="str">
            <v>ExamPrep_23</v>
          </cell>
          <cell r="E314" t="str">
            <v>SA</v>
          </cell>
          <cell r="F314" t="str">
            <v>YouTube</v>
          </cell>
          <cell r="G314">
            <v>15706</v>
          </cell>
          <cell r="H314">
            <v>832300</v>
          </cell>
          <cell r="I314">
            <v>377842</v>
          </cell>
          <cell r="J314">
            <v>2107</v>
          </cell>
        </row>
        <row r="315">
          <cell r="A315" t="str">
            <v>ExamPrep_23SASocial</v>
          </cell>
          <cell r="B315">
            <v>45061</v>
          </cell>
          <cell r="C315">
            <v>45061</v>
          </cell>
          <cell r="D315" t="str">
            <v>ExamPrep_23</v>
          </cell>
          <cell r="E315" t="str">
            <v>SA</v>
          </cell>
          <cell r="F315" t="str">
            <v>Social</v>
          </cell>
          <cell r="G315">
            <v>7807</v>
          </cell>
          <cell r="H315">
            <v>484194</v>
          </cell>
          <cell r="I315">
            <v>164230</v>
          </cell>
          <cell r="J315">
            <v>959</v>
          </cell>
        </row>
        <row r="316">
          <cell r="A316" t="str">
            <v>ExamPrep_23SADisplay</v>
          </cell>
          <cell r="B316">
            <v>45061</v>
          </cell>
          <cell r="C316">
            <v>45061</v>
          </cell>
          <cell r="D316" t="str">
            <v>ExamPrep_23</v>
          </cell>
          <cell r="E316" t="str">
            <v>SA</v>
          </cell>
          <cell r="F316" t="str">
            <v>Display</v>
          </cell>
          <cell r="G316">
            <v>5260</v>
          </cell>
          <cell r="H316">
            <v>1313676</v>
          </cell>
          <cell r="I316">
            <v>229119</v>
          </cell>
          <cell r="J316">
            <v>161</v>
          </cell>
        </row>
        <row r="317">
          <cell r="A317" t="str">
            <v>ExamPrep_23SASearch</v>
          </cell>
          <cell r="B317">
            <v>45061</v>
          </cell>
          <cell r="C317">
            <v>45061</v>
          </cell>
          <cell r="D317" t="str">
            <v>ExamPrep_23</v>
          </cell>
          <cell r="E317" t="str">
            <v>SA</v>
          </cell>
          <cell r="F317" t="str">
            <v>Search</v>
          </cell>
          <cell r="G317">
            <v>14922</v>
          </cell>
          <cell r="H317">
            <v>174904</v>
          </cell>
          <cell r="I317">
            <v>157631</v>
          </cell>
          <cell r="J317">
            <v>5111</v>
          </cell>
        </row>
        <row r="318">
          <cell r="A318" t="str">
            <v>ExamPrep_23EGYouTube</v>
          </cell>
          <cell r="B318">
            <v>45061</v>
          </cell>
          <cell r="C318">
            <v>45061</v>
          </cell>
          <cell r="D318" t="str">
            <v>ExamPrep_23</v>
          </cell>
          <cell r="E318" t="str">
            <v>EG</v>
          </cell>
          <cell r="F318" t="str">
            <v>YouTube</v>
          </cell>
          <cell r="G318">
            <v>8778</v>
          </cell>
          <cell r="H318">
            <v>514656</v>
          </cell>
          <cell r="I318">
            <v>206101</v>
          </cell>
          <cell r="J318">
            <v>1172</v>
          </cell>
        </row>
        <row r="319">
          <cell r="A319" t="str">
            <v>ExamPrep_23EGSocial</v>
          </cell>
          <cell r="B319">
            <v>45061</v>
          </cell>
          <cell r="C319">
            <v>45061</v>
          </cell>
          <cell r="D319" t="str">
            <v>ExamPrep_23</v>
          </cell>
          <cell r="E319" t="str">
            <v>EG</v>
          </cell>
          <cell r="F319" t="str">
            <v>Social</v>
          </cell>
          <cell r="G319">
            <v>10818</v>
          </cell>
          <cell r="H319">
            <v>756774</v>
          </cell>
          <cell r="I319">
            <v>273061</v>
          </cell>
          <cell r="J319">
            <v>1415</v>
          </cell>
        </row>
        <row r="320">
          <cell r="A320" t="str">
            <v>ExamPrep_23EGDisplay</v>
          </cell>
          <cell r="B320">
            <v>45061</v>
          </cell>
          <cell r="C320">
            <v>45061</v>
          </cell>
          <cell r="D320" t="str">
            <v>ExamPrep_23</v>
          </cell>
          <cell r="E320" t="str">
            <v>EG</v>
          </cell>
          <cell r="F320" t="str">
            <v>Display</v>
          </cell>
          <cell r="G320">
            <v>5989</v>
          </cell>
          <cell r="H320">
            <v>1650373</v>
          </cell>
          <cell r="I320">
            <v>291634</v>
          </cell>
          <cell r="J320">
            <v>205</v>
          </cell>
        </row>
        <row r="321">
          <cell r="A321" t="str">
            <v>ExamPrep_23EGSearch</v>
          </cell>
          <cell r="B321">
            <v>45061</v>
          </cell>
          <cell r="C321">
            <v>45061</v>
          </cell>
          <cell r="D321" t="str">
            <v>ExamPrep_23</v>
          </cell>
          <cell r="E321" t="str">
            <v>EG</v>
          </cell>
          <cell r="F321" t="str">
            <v>Search</v>
          </cell>
          <cell r="G321">
            <v>18833</v>
          </cell>
          <cell r="H321">
            <v>257902</v>
          </cell>
          <cell r="I321">
            <v>218605</v>
          </cell>
          <cell r="J321">
            <v>5745</v>
          </cell>
        </row>
        <row r="322">
          <cell r="A322" t="str">
            <v>ExamPrep_23UKYouTube</v>
          </cell>
          <cell r="B322">
            <v>45068</v>
          </cell>
          <cell r="C322">
            <v>45068</v>
          </cell>
          <cell r="D322" t="str">
            <v>ExamPrep_23</v>
          </cell>
          <cell r="E322" t="str">
            <v>UK</v>
          </cell>
          <cell r="F322" t="str">
            <v>YouTube</v>
          </cell>
          <cell r="G322">
            <v>18067</v>
          </cell>
          <cell r="H322">
            <v>1145617</v>
          </cell>
          <cell r="I322">
            <v>413548</v>
          </cell>
          <cell r="J322">
            <v>656</v>
          </cell>
        </row>
        <row r="323">
          <cell r="A323" t="str">
            <v>ExamPrep_23UKSocial</v>
          </cell>
          <cell r="B323">
            <v>45068</v>
          </cell>
          <cell r="C323">
            <v>45068</v>
          </cell>
          <cell r="D323" t="str">
            <v>ExamPrep_23</v>
          </cell>
          <cell r="E323" t="str">
            <v>UK</v>
          </cell>
          <cell r="F323" t="str">
            <v>Social</v>
          </cell>
          <cell r="G323">
            <v>22019</v>
          </cell>
          <cell r="H323">
            <v>1502597</v>
          </cell>
          <cell r="I323">
            <v>599800</v>
          </cell>
          <cell r="J323">
            <v>743</v>
          </cell>
        </row>
        <row r="324">
          <cell r="A324" t="str">
            <v>ExamPrep_23UKDisplay</v>
          </cell>
          <cell r="B324">
            <v>45068</v>
          </cell>
          <cell r="C324">
            <v>45068</v>
          </cell>
          <cell r="D324" t="str">
            <v>ExamPrep_23</v>
          </cell>
          <cell r="E324" t="str">
            <v>UK</v>
          </cell>
          <cell r="F324" t="str">
            <v>Display</v>
          </cell>
          <cell r="G324">
            <v>14441</v>
          </cell>
          <cell r="H324">
            <v>2938680</v>
          </cell>
          <cell r="I324">
            <v>579928</v>
          </cell>
          <cell r="J324">
            <v>123</v>
          </cell>
        </row>
        <row r="325">
          <cell r="A325" t="str">
            <v>ExamPrep_23UKSearch</v>
          </cell>
          <cell r="B325">
            <v>45068</v>
          </cell>
          <cell r="C325">
            <v>45068</v>
          </cell>
          <cell r="D325" t="str">
            <v>ExamPrep_23</v>
          </cell>
          <cell r="E325" t="str">
            <v>UK</v>
          </cell>
          <cell r="F325" t="str">
            <v>Search</v>
          </cell>
          <cell r="G325">
            <v>20478</v>
          </cell>
          <cell r="H325">
            <v>235259</v>
          </cell>
          <cell r="I325">
            <v>196884</v>
          </cell>
          <cell r="J325">
            <v>1699</v>
          </cell>
        </row>
        <row r="326">
          <cell r="A326" t="str">
            <v>ExamPrep_23DEYouTube</v>
          </cell>
          <cell r="B326">
            <v>45068</v>
          </cell>
          <cell r="C326">
            <v>45068</v>
          </cell>
          <cell r="D326" t="str">
            <v>ExamPrep_23</v>
          </cell>
          <cell r="E326" t="str">
            <v>DE</v>
          </cell>
          <cell r="F326" t="str">
            <v>YouTube</v>
          </cell>
          <cell r="G326">
            <v>22121</v>
          </cell>
          <cell r="H326">
            <v>1106856</v>
          </cell>
          <cell r="I326">
            <v>404855</v>
          </cell>
          <cell r="J326">
            <v>818</v>
          </cell>
        </row>
        <row r="327">
          <cell r="A327" t="str">
            <v>ExamPrep_23DESocial</v>
          </cell>
          <cell r="B327">
            <v>45068</v>
          </cell>
          <cell r="C327">
            <v>45068</v>
          </cell>
          <cell r="D327" t="str">
            <v>ExamPrep_23</v>
          </cell>
          <cell r="E327" t="str">
            <v>DE</v>
          </cell>
          <cell r="F327" t="str">
            <v>Social</v>
          </cell>
          <cell r="G327">
            <v>23404</v>
          </cell>
          <cell r="H327">
            <v>1774369</v>
          </cell>
          <cell r="I327">
            <v>755462</v>
          </cell>
          <cell r="J327">
            <v>754</v>
          </cell>
        </row>
        <row r="328">
          <cell r="A328" t="str">
            <v>ExamPrep_23DEDisplay</v>
          </cell>
          <cell r="B328">
            <v>45068</v>
          </cell>
          <cell r="C328">
            <v>45068</v>
          </cell>
          <cell r="D328" t="str">
            <v>ExamPrep_23</v>
          </cell>
          <cell r="E328" t="str">
            <v>DE</v>
          </cell>
          <cell r="F328" t="str">
            <v>Display</v>
          </cell>
          <cell r="G328">
            <v>10026</v>
          </cell>
          <cell r="H328">
            <v>2206823</v>
          </cell>
          <cell r="I328">
            <v>477110</v>
          </cell>
          <cell r="J328">
            <v>78</v>
          </cell>
        </row>
        <row r="329">
          <cell r="A329" t="str">
            <v>ExamPrep_23DESearch</v>
          </cell>
          <cell r="B329">
            <v>45068</v>
          </cell>
          <cell r="C329">
            <v>45068</v>
          </cell>
          <cell r="D329" t="str">
            <v>ExamPrep_23</v>
          </cell>
          <cell r="E329" t="str">
            <v>DE</v>
          </cell>
          <cell r="F329" t="str">
            <v>Search</v>
          </cell>
          <cell r="G329">
            <v>24416</v>
          </cell>
          <cell r="H329">
            <v>353805</v>
          </cell>
          <cell r="I329">
            <v>309909</v>
          </cell>
          <cell r="J329">
            <v>1924</v>
          </cell>
        </row>
        <row r="330">
          <cell r="A330" t="str">
            <v>ExamPrep_23SAYouTube</v>
          </cell>
          <cell r="B330">
            <v>45068</v>
          </cell>
          <cell r="C330">
            <v>45068</v>
          </cell>
          <cell r="D330" t="str">
            <v>ExamPrep_23</v>
          </cell>
          <cell r="E330" t="str">
            <v>SA</v>
          </cell>
          <cell r="F330" t="str">
            <v>YouTube</v>
          </cell>
          <cell r="G330">
            <v>8624</v>
          </cell>
          <cell r="H330">
            <v>518428</v>
          </cell>
          <cell r="I330">
            <v>187727</v>
          </cell>
          <cell r="J330">
            <v>1094</v>
          </cell>
        </row>
        <row r="331">
          <cell r="A331" t="str">
            <v>ExamPrep_23SASocial</v>
          </cell>
          <cell r="B331">
            <v>45068</v>
          </cell>
          <cell r="C331">
            <v>45068</v>
          </cell>
          <cell r="D331" t="str">
            <v>ExamPrep_23</v>
          </cell>
          <cell r="E331" t="str">
            <v>SA</v>
          </cell>
          <cell r="F331" t="str">
            <v>Social</v>
          </cell>
          <cell r="G331">
            <v>15113</v>
          </cell>
          <cell r="H331">
            <v>932565</v>
          </cell>
          <cell r="I331">
            <v>463406</v>
          </cell>
          <cell r="J331">
            <v>1997</v>
          </cell>
        </row>
        <row r="332">
          <cell r="A332" t="str">
            <v>ExamPrep_23SADisplay</v>
          </cell>
          <cell r="B332">
            <v>45068</v>
          </cell>
          <cell r="C332">
            <v>45068</v>
          </cell>
          <cell r="D332" t="str">
            <v>ExamPrep_23</v>
          </cell>
          <cell r="E332" t="str">
            <v>SA</v>
          </cell>
          <cell r="F332" t="str">
            <v>Display</v>
          </cell>
          <cell r="G332">
            <v>8326</v>
          </cell>
          <cell r="H332">
            <v>2197292</v>
          </cell>
          <cell r="I332">
            <v>476403</v>
          </cell>
          <cell r="J332">
            <v>259</v>
          </cell>
        </row>
        <row r="333">
          <cell r="A333" t="str">
            <v>ExamPrep_23SASearch</v>
          </cell>
          <cell r="B333">
            <v>45068</v>
          </cell>
          <cell r="C333">
            <v>45068</v>
          </cell>
          <cell r="D333" t="str">
            <v>ExamPrep_23</v>
          </cell>
          <cell r="E333" t="str">
            <v>SA</v>
          </cell>
          <cell r="F333" t="str">
            <v>Search</v>
          </cell>
          <cell r="G333">
            <v>16869</v>
          </cell>
          <cell r="H333">
            <v>227311</v>
          </cell>
          <cell r="I333">
            <v>196356</v>
          </cell>
          <cell r="J333">
            <v>4865</v>
          </cell>
        </row>
        <row r="334">
          <cell r="A334" t="str">
            <v>ExamPrep_23EGYouTube</v>
          </cell>
          <cell r="B334">
            <v>45068</v>
          </cell>
          <cell r="C334">
            <v>45068</v>
          </cell>
          <cell r="D334" t="str">
            <v>ExamPrep_23</v>
          </cell>
          <cell r="E334" t="str">
            <v>EG</v>
          </cell>
          <cell r="F334" t="str">
            <v>YouTube</v>
          </cell>
          <cell r="G334">
            <v>12615</v>
          </cell>
          <cell r="H334">
            <v>860606</v>
          </cell>
          <cell r="I334">
            <v>294855</v>
          </cell>
          <cell r="J334">
            <v>1435</v>
          </cell>
        </row>
        <row r="335">
          <cell r="A335" t="str">
            <v>ExamPrep_23EGSocial</v>
          </cell>
          <cell r="B335">
            <v>45068</v>
          </cell>
          <cell r="C335">
            <v>45068</v>
          </cell>
          <cell r="D335" t="str">
            <v>ExamPrep_23</v>
          </cell>
          <cell r="E335" t="str">
            <v>EG</v>
          </cell>
          <cell r="F335" t="str">
            <v>Social</v>
          </cell>
          <cell r="G335">
            <v>8364</v>
          </cell>
          <cell r="H335">
            <v>418566</v>
          </cell>
          <cell r="I335">
            <v>155594</v>
          </cell>
          <cell r="J335">
            <v>1145</v>
          </cell>
        </row>
        <row r="336">
          <cell r="A336" t="str">
            <v>ExamPrep_23EGDisplay</v>
          </cell>
          <cell r="B336">
            <v>45068</v>
          </cell>
          <cell r="C336">
            <v>45068</v>
          </cell>
          <cell r="D336" t="str">
            <v>ExamPrep_23</v>
          </cell>
          <cell r="E336" t="str">
            <v>EG</v>
          </cell>
          <cell r="F336" t="str">
            <v>Display</v>
          </cell>
          <cell r="G336">
            <v>4825</v>
          </cell>
          <cell r="H336">
            <v>967529</v>
          </cell>
          <cell r="I336">
            <v>169053</v>
          </cell>
          <cell r="J336">
            <v>149</v>
          </cell>
        </row>
        <row r="337">
          <cell r="A337" t="str">
            <v>ExamPrep_23EGSearch</v>
          </cell>
          <cell r="B337">
            <v>45068</v>
          </cell>
          <cell r="C337">
            <v>45068</v>
          </cell>
          <cell r="D337" t="str">
            <v>ExamPrep_23</v>
          </cell>
          <cell r="E337" t="str">
            <v>EG</v>
          </cell>
          <cell r="F337" t="str">
            <v>Search</v>
          </cell>
          <cell r="G337">
            <v>10711</v>
          </cell>
          <cell r="H337">
            <v>113595</v>
          </cell>
          <cell r="I337">
            <v>95995</v>
          </cell>
          <cell r="J337">
            <v>3320</v>
          </cell>
        </row>
        <row r="338">
          <cell r="A338" t="str">
            <v>Always_OnUKYouTube</v>
          </cell>
          <cell r="B338">
            <v>45075</v>
          </cell>
          <cell r="C338">
            <v>45075</v>
          </cell>
          <cell r="D338" t="str">
            <v>Always_On</v>
          </cell>
          <cell r="E338" t="str">
            <v>UK</v>
          </cell>
          <cell r="F338" t="str">
            <v>YouTube</v>
          </cell>
          <cell r="G338">
            <v>7521</v>
          </cell>
          <cell r="H338">
            <v>533990</v>
          </cell>
          <cell r="I338">
            <v>209715</v>
          </cell>
          <cell r="J338">
            <v>254</v>
          </cell>
        </row>
        <row r="339">
          <cell r="A339" t="str">
            <v>Always_OnUKSocial</v>
          </cell>
          <cell r="B339">
            <v>45075</v>
          </cell>
          <cell r="C339">
            <v>45075</v>
          </cell>
          <cell r="D339" t="str">
            <v>Always_On</v>
          </cell>
          <cell r="E339" t="str">
            <v>UK</v>
          </cell>
          <cell r="F339" t="str">
            <v>Social</v>
          </cell>
          <cell r="G339">
            <v>5424</v>
          </cell>
          <cell r="H339">
            <v>301839</v>
          </cell>
          <cell r="I339">
            <v>140701</v>
          </cell>
          <cell r="J339">
            <v>169</v>
          </cell>
        </row>
        <row r="340">
          <cell r="A340" t="str">
            <v>Always_OnUKDisplay</v>
          </cell>
          <cell r="B340">
            <v>45075</v>
          </cell>
          <cell r="C340">
            <v>45075</v>
          </cell>
          <cell r="D340" t="str">
            <v>Always_On</v>
          </cell>
          <cell r="E340" t="str">
            <v>UK</v>
          </cell>
          <cell r="F340" t="str">
            <v>Display</v>
          </cell>
          <cell r="G340">
            <v>3703</v>
          </cell>
          <cell r="H340">
            <v>950442</v>
          </cell>
          <cell r="I340">
            <v>172359</v>
          </cell>
          <cell r="J340">
            <v>32</v>
          </cell>
        </row>
        <row r="341">
          <cell r="A341" t="str">
            <v>Always_OnUKSearch</v>
          </cell>
          <cell r="B341">
            <v>45075</v>
          </cell>
          <cell r="C341">
            <v>45075</v>
          </cell>
          <cell r="D341" t="str">
            <v>Always_On</v>
          </cell>
          <cell r="E341" t="str">
            <v>UK</v>
          </cell>
          <cell r="F341" t="str">
            <v>Search</v>
          </cell>
          <cell r="G341">
            <v>7286</v>
          </cell>
          <cell r="H341">
            <v>84898</v>
          </cell>
          <cell r="I341">
            <v>76970</v>
          </cell>
          <cell r="J341">
            <v>558</v>
          </cell>
        </row>
        <row r="342">
          <cell r="A342" t="str">
            <v>Always_OnDEYouTube</v>
          </cell>
          <cell r="B342">
            <v>45075</v>
          </cell>
          <cell r="C342">
            <v>45075</v>
          </cell>
          <cell r="D342" t="str">
            <v>Always_On</v>
          </cell>
          <cell r="E342" t="str">
            <v>DE</v>
          </cell>
          <cell r="F342" t="str">
            <v>YouTube</v>
          </cell>
          <cell r="G342">
            <v>8028</v>
          </cell>
          <cell r="H342">
            <v>405826</v>
          </cell>
          <cell r="I342">
            <v>137812</v>
          </cell>
          <cell r="J342">
            <v>293</v>
          </cell>
        </row>
        <row r="343">
          <cell r="A343" t="str">
            <v>Always_OnDESocial</v>
          </cell>
          <cell r="B343">
            <v>45075</v>
          </cell>
          <cell r="C343">
            <v>45075</v>
          </cell>
          <cell r="D343" t="str">
            <v>Always_On</v>
          </cell>
          <cell r="E343" t="str">
            <v>DE</v>
          </cell>
          <cell r="F343" t="str">
            <v>Social</v>
          </cell>
          <cell r="G343">
            <v>5377</v>
          </cell>
          <cell r="H343">
            <v>386444</v>
          </cell>
          <cell r="I343">
            <v>177510</v>
          </cell>
          <cell r="J343">
            <v>180</v>
          </cell>
        </row>
        <row r="344">
          <cell r="A344" t="str">
            <v>Always_OnDEDisplay</v>
          </cell>
          <cell r="B344">
            <v>45075</v>
          </cell>
          <cell r="C344">
            <v>45075</v>
          </cell>
          <cell r="D344" t="str">
            <v>Always_On</v>
          </cell>
          <cell r="E344" t="str">
            <v>DE</v>
          </cell>
          <cell r="F344" t="str">
            <v>Display</v>
          </cell>
          <cell r="G344">
            <v>3677</v>
          </cell>
          <cell r="H344">
            <v>1067776</v>
          </cell>
          <cell r="I344">
            <v>206203</v>
          </cell>
          <cell r="J344">
            <v>30</v>
          </cell>
        </row>
        <row r="345">
          <cell r="A345" t="str">
            <v>Always_OnDESearch</v>
          </cell>
          <cell r="B345">
            <v>45075</v>
          </cell>
          <cell r="C345">
            <v>45075</v>
          </cell>
          <cell r="D345" t="str">
            <v>Always_On</v>
          </cell>
          <cell r="E345" t="str">
            <v>DE</v>
          </cell>
          <cell r="F345" t="str">
            <v>Search</v>
          </cell>
          <cell r="G345">
            <v>5716</v>
          </cell>
          <cell r="H345">
            <v>75798</v>
          </cell>
          <cell r="I345">
            <v>65724</v>
          </cell>
          <cell r="J345">
            <v>504</v>
          </cell>
        </row>
        <row r="346">
          <cell r="A346" t="str">
            <v>Always_OnSAYouTube</v>
          </cell>
          <cell r="B346">
            <v>45075</v>
          </cell>
          <cell r="C346">
            <v>45075</v>
          </cell>
          <cell r="D346" t="str">
            <v>Always_On</v>
          </cell>
          <cell r="E346" t="str">
            <v>SA</v>
          </cell>
          <cell r="F346" t="str">
            <v>YouTube</v>
          </cell>
          <cell r="G346">
            <v>2089</v>
          </cell>
          <cell r="H346">
            <v>133020</v>
          </cell>
          <cell r="I346">
            <v>63269</v>
          </cell>
          <cell r="J346">
            <v>277</v>
          </cell>
        </row>
        <row r="347">
          <cell r="A347" t="str">
            <v>Always_OnSASocial</v>
          </cell>
          <cell r="B347">
            <v>45075</v>
          </cell>
          <cell r="C347">
            <v>45075</v>
          </cell>
          <cell r="D347" t="str">
            <v>Always_On</v>
          </cell>
          <cell r="E347" t="str">
            <v>SA</v>
          </cell>
          <cell r="F347" t="str">
            <v>Social</v>
          </cell>
          <cell r="G347">
            <v>3539</v>
          </cell>
          <cell r="H347">
            <v>243625</v>
          </cell>
          <cell r="I347">
            <v>117905</v>
          </cell>
          <cell r="J347">
            <v>411</v>
          </cell>
        </row>
        <row r="348">
          <cell r="A348" t="str">
            <v>Always_OnSADisplay</v>
          </cell>
          <cell r="B348">
            <v>45075</v>
          </cell>
          <cell r="C348">
            <v>45075</v>
          </cell>
          <cell r="D348" t="str">
            <v>Always_On</v>
          </cell>
          <cell r="E348" t="str">
            <v>SA</v>
          </cell>
          <cell r="F348" t="str">
            <v>Display</v>
          </cell>
          <cell r="G348">
            <v>2064</v>
          </cell>
          <cell r="H348">
            <v>415962</v>
          </cell>
          <cell r="I348">
            <v>98321</v>
          </cell>
          <cell r="J348">
            <v>68</v>
          </cell>
        </row>
        <row r="349">
          <cell r="A349" t="str">
            <v>Always_OnSASearch</v>
          </cell>
          <cell r="B349">
            <v>45075</v>
          </cell>
          <cell r="C349">
            <v>45075</v>
          </cell>
          <cell r="D349" t="str">
            <v>Always_On</v>
          </cell>
          <cell r="E349" t="str">
            <v>SA</v>
          </cell>
          <cell r="F349" t="str">
            <v>Search</v>
          </cell>
          <cell r="G349">
            <v>2747</v>
          </cell>
          <cell r="H349">
            <v>34097</v>
          </cell>
          <cell r="I349">
            <v>30453</v>
          </cell>
          <cell r="J349">
            <v>854</v>
          </cell>
        </row>
        <row r="350">
          <cell r="A350" t="str">
            <v>Always_OnEGYouTube</v>
          </cell>
          <cell r="B350">
            <v>45075</v>
          </cell>
          <cell r="C350">
            <v>45075</v>
          </cell>
          <cell r="D350" t="str">
            <v>Always_On</v>
          </cell>
          <cell r="E350" t="str">
            <v>EG</v>
          </cell>
          <cell r="F350" t="str">
            <v>YouTube</v>
          </cell>
          <cell r="G350">
            <v>4457</v>
          </cell>
          <cell r="H350">
            <v>278611</v>
          </cell>
          <cell r="I350">
            <v>129968</v>
          </cell>
          <cell r="J350">
            <v>556</v>
          </cell>
        </row>
        <row r="351">
          <cell r="A351" t="str">
            <v>Always_OnEGSocial</v>
          </cell>
          <cell r="B351">
            <v>45075</v>
          </cell>
          <cell r="C351">
            <v>45075</v>
          </cell>
          <cell r="D351" t="str">
            <v>Always_On</v>
          </cell>
          <cell r="E351" t="str">
            <v>EG</v>
          </cell>
          <cell r="F351" t="str">
            <v>Social</v>
          </cell>
          <cell r="G351">
            <v>4410</v>
          </cell>
          <cell r="H351">
            <v>322097</v>
          </cell>
          <cell r="I351">
            <v>111209</v>
          </cell>
          <cell r="J351">
            <v>575</v>
          </cell>
        </row>
        <row r="352">
          <cell r="A352" t="str">
            <v>Always_OnEGDisplay</v>
          </cell>
          <cell r="B352">
            <v>45075</v>
          </cell>
          <cell r="C352">
            <v>45075</v>
          </cell>
          <cell r="D352" t="str">
            <v>Always_On</v>
          </cell>
          <cell r="E352" t="str">
            <v>EG</v>
          </cell>
          <cell r="F352" t="str">
            <v>Display</v>
          </cell>
          <cell r="G352">
            <v>2374</v>
          </cell>
          <cell r="H352">
            <v>530378</v>
          </cell>
          <cell r="I352">
            <v>90570</v>
          </cell>
          <cell r="J352">
            <v>70</v>
          </cell>
        </row>
        <row r="353">
          <cell r="A353" t="str">
            <v>Always_OnEGSearch</v>
          </cell>
          <cell r="B353">
            <v>45075</v>
          </cell>
          <cell r="C353">
            <v>45075</v>
          </cell>
          <cell r="D353" t="str">
            <v>Always_On</v>
          </cell>
          <cell r="E353" t="str">
            <v>EG</v>
          </cell>
          <cell r="F353" t="str">
            <v>Search</v>
          </cell>
          <cell r="G353">
            <v>3217</v>
          </cell>
          <cell r="H353">
            <v>44850</v>
          </cell>
          <cell r="I353">
            <v>38666</v>
          </cell>
          <cell r="J353">
            <v>926</v>
          </cell>
        </row>
        <row r="354">
          <cell r="A354" t="str">
            <v>Always_OnUKYouTube</v>
          </cell>
          <cell r="B354">
            <v>45082</v>
          </cell>
          <cell r="C354">
            <v>45082</v>
          </cell>
          <cell r="D354" t="str">
            <v>Always_On</v>
          </cell>
          <cell r="E354" t="str">
            <v>UK</v>
          </cell>
          <cell r="F354" t="str">
            <v>YouTube</v>
          </cell>
          <cell r="G354">
            <v>7336</v>
          </cell>
          <cell r="H354">
            <v>412670</v>
          </cell>
          <cell r="I354">
            <v>185108</v>
          </cell>
          <cell r="J354">
            <v>264</v>
          </cell>
        </row>
        <row r="355">
          <cell r="A355" t="str">
            <v>Always_OnUKSocial</v>
          </cell>
          <cell r="B355">
            <v>45082</v>
          </cell>
          <cell r="C355">
            <v>45082</v>
          </cell>
          <cell r="D355" t="str">
            <v>Always_On</v>
          </cell>
          <cell r="E355" t="str">
            <v>UK</v>
          </cell>
          <cell r="F355" t="str">
            <v>Social</v>
          </cell>
          <cell r="G355">
            <v>4393</v>
          </cell>
          <cell r="H355">
            <v>333995</v>
          </cell>
          <cell r="I355">
            <v>163995</v>
          </cell>
          <cell r="J355">
            <v>144</v>
          </cell>
        </row>
        <row r="356">
          <cell r="A356" t="str">
            <v>Always_OnUKDisplay</v>
          </cell>
          <cell r="B356">
            <v>45082</v>
          </cell>
          <cell r="C356">
            <v>45082</v>
          </cell>
          <cell r="D356" t="str">
            <v>Always_On</v>
          </cell>
          <cell r="E356" t="str">
            <v>UK</v>
          </cell>
          <cell r="F356" t="str">
            <v>Display</v>
          </cell>
          <cell r="G356">
            <v>2348</v>
          </cell>
          <cell r="H356">
            <v>689379</v>
          </cell>
          <cell r="I356">
            <v>160274</v>
          </cell>
          <cell r="J356">
            <v>18</v>
          </cell>
        </row>
        <row r="357">
          <cell r="A357" t="str">
            <v>Always_OnUKSearch</v>
          </cell>
          <cell r="B357">
            <v>45082</v>
          </cell>
          <cell r="C357">
            <v>45082</v>
          </cell>
          <cell r="D357" t="str">
            <v>Always_On</v>
          </cell>
          <cell r="E357" t="str">
            <v>UK</v>
          </cell>
          <cell r="F357" t="str">
            <v>Search</v>
          </cell>
          <cell r="G357">
            <v>6208</v>
          </cell>
          <cell r="H357">
            <v>62394</v>
          </cell>
          <cell r="I357">
            <v>55099</v>
          </cell>
          <cell r="J357">
            <v>553</v>
          </cell>
        </row>
        <row r="358">
          <cell r="A358" t="str">
            <v>Always_OnDEYouTube</v>
          </cell>
          <cell r="B358">
            <v>45082</v>
          </cell>
          <cell r="C358">
            <v>45082</v>
          </cell>
          <cell r="D358" t="str">
            <v>Always_On</v>
          </cell>
          <cell r="E358" t="str">
            <v>DE</v>
          </cell>
          <cell r="F358" t="str">
            <v>YouTube</v>
          </cell>
          <cell r="G358">
            <v>7422</v>
          </cell>
          <cell r="H358">
            <v>531250</v>
          </cell>
          <cell r="I358">
            <v>198018</v>
          </cell>
          <cell r="J358">
            <v>245</v>
          </cell>
        </row>
        <row r="359">
          <cell r="A359" t="str">
            <v>Always_OnDESocial</v>
          </cell>
          <cell r="B359">
            <v>45082</v>
          </cell>
          <cell r="C359">
            <v>45082</v>
          </cell>
          <cell r="D359" t="str">
            <v>Always_On</v>
          </cell>
          <cell r="E359" t="str">
            <v>DE</v>
          </cell>
          <cell r="F359" t="str">
            <v>Social</v>
          </cell>
          <cell r="G359">
            <v>5133</v>
          </cell>
          <cell r="H359">
            <v>327193</v>
          </cell>
          <cell r="I359">
            <v>114894</v>
          </cell>
          <cell r="J359">
            <v>182</v>
          </cell>
        </row>
        <row r="360">
          <cell r="A360" t="str">
            <v>Always_OnDEDisplay</v>
          </cell>
          <cell r="B360">
            <v>45082</v>
          </cell>
          <cell r="C360">
            <v>45082</v>
          </cell>
          <cell r="D360" t="str">
            <v>Always_On</v>
          </cell>
          <cell r="E360" t="str">
            <v>DE</v>
          </cell>
          <cell r="F360" t="str">
            <v>Display</v>
          </cell>
          <cell r="G360">
            <v>3353</v>
          </cell>
          <cell r="H360">
            <v>964416</v>
          </cell>
          <cell r="I360">
            <v>222270</v>
          </cell>
          <cell r="J360">
            <v>25</v>
          </cell>
        </row>
        <row r="361">
          <cell r="A361" t="str">
            <v>Always_OnDESearch</v>
          </cell>
          <cell r="B361">
            <v>45082</v>
          </cell>
          <cell r="C361">
            <v>45082</v>
          </cell>
          <cell r="D361" t="str">
            <v>Always_On</v>
          </cell>
          <cell r="E361" t="str">
            <v>DE</v>
          </cell>
          <cell r="F361" t="str">
            <v>Search</v>
          </cell>
          <cell r="G361">
            <v>4559</v>
          </cell>
          <cell r="H361">
            <v>53877</v>
          </cell>
          <cell r="I361">
            <v>46476</v>
          </cell>
          <cell r="J361">
            <v>356</v>
          </cell>
        </row>
        <row r="362">
          <cell r="A362" t="str">
            <v>Always_OnSAYouTube</v>
          </cell>
          <cell r="B362">
            <v>45082</v>
          </cell>
          <cell r="C362">
            <v>45082</v>
          </cell>
          <cell r="D362" t="str">
            <v>Always_On</v>
          </cell>
          <cell r="E362" t="str">
            <v>SA</v>
          </cell>
          <cell r="F362" t="str">
            <v>YouTube</v>
          </cell>
          <cell r="G362">
            <v>4175</v>
          </cell>
          <cell r="H362">
            <v>305550</v>
          </cell>
          <cell r="I362">
            <v>128903</v>
          </cell>
          <cell r="J362">
            <v>499</v>
          </cell>
        </row>
        <row r="363">
          <cell r="A363" t="str">
            <v>Always_OnSASocial</v>
          </cell>
          <cell r="B363">
            <v>45082</v>
          </cell>
          <cell r="C363">
            <v>45082</v>
          </cell>
          <cell r="D363" t="str">
            <v>Always_On</v>
          </cell>
          <cell r="E363" t="str">
            <v>SA</v>
          </cell>
          <cell r="F363" t="str">
            <v>Social</v>
          </cell>
          <cell r="G363">
            <v>3992</v>
          </cell>
          <cell r="H363">
            <v>211486</v>
          </cell>
          <cell r="I363">
            <v>77428</v>
          </cell>
          <cell r="J363">
            <v>552</v>
          </cell>
        </row>
        <row r="364">
          <cell r="A364" t="str">
            <v>Always_OnSADisplay</v>
          </cell>
          <cell r="B364">
            <v>45082</v>
          </cell>
          <cell r="C364">
            <v>45082</v>
          </cell>
          <cell r="D364" t="str">
            <v>Always_On</v>
          </cell>
          <cell r="E364" t="str">
            <v>SA</v>
          </cell>
          <cell r="F364" t="str">
            <v>Display</v>
          </cell>
          <cell r="G364">
            <v>1353</v>
          </cell>
          <cell r="H364">
            <v>376363</v>
          </cell>
          <cell r="I364">
            <v>67034</v>
          </cell>
          <cell r="J364">
            <v>39</v>
          </cell>
        </row>
        <row r="365">
          <cell r="A365" t="str">
            <v>Always_OnSASearch</v>
          </cell>
          <cell r="B365">
            <v>45082</v>
          </cell>
          <cell r="C365">
            <v>45082</v>
          </cell>
          <cell r="D365" t="str">
            <v>Always_On</v>
          </cell>
          <cell r="E365" t="str">
            <v>SA</v>
          </cell>
          <cell r="F365" t="str">
            <v>Search</v>
          </cell>
          <cell r="G365">
            <v>4596</v>
          </cell>
          <cell r="H365">
            <v>67722</v>
          </cell>
          <cell r="I365">
            <v>57604</v>
          </cell>
          <cell r="J365">
            <v>1504</v>
          </cell>
        </row>
        <row r="366">
          <cell r="A366" t="str">
            <v>Always_OnEGYouTube</v>
          </cell>
          <cell r="B366">
            <v>45082</v>
          </cell>
          <cell r="C366">
            <v>45082</v>
          </cell>
          <cell r="D366" t="str">
            <v>Always_On</v>
          </cell>
          <cell r="E366" t="str">
            <v>EG</v>
          </cell>
          <cell r="F366" t="str">
            <v>YouTube</v>
          </cell>
          <cell r="G366">
            <v>2040</v>
          </cell>
          <cell r="H366">
            <v>102863</v>
          </cell>
          <cell r="I366">
            <v>36615</v>
          </cell>
          <cell r="J366">
            <v>240</v>
          </cell>
        </row>
        <row r="367">
          <cell r="A367" t="str">
            <v>Always_OnEGSocial</v>
          </cell>
          <cell r="B367">
            <v>45082</v>
          </cell>
          <cell r="C367">
            <v>45082</v>
          </cell>
          <cell r="D367" t="str">
            <v>Always_On</v>
          </cell>
          <cell r="E367" t="str">
            <v>EG</v>
          </cell>
          <cell r="F367" t="str">
            <v>Social</v>
          </cell>
          <cell r="G367">
            <v>2991</v>
          </cell>
          <cell r="H367">
            <v>230512</v>
          </cell>
          <cell r="I367">
            <v>79556</v>
          </cell>
          <cell r="J367">
            <v>341</v>
          </cell>
        </row>
        <row r="368">
          <cell r="A368" t="str">
            <v>Always_OnEGDisplay</v>
          </cell>
          <cell r="B368">
            <v>45082</v>
          </cell>
          <cell r="C368">
            <v>45082</v>
          </cell>
          <cell r="D368" t="str">
            <v>Always_On</v>
          </cell>
          <cell r="E368" t="str">
            <v>EG</v>
          </cell>
          <cell r="F368" t="str">
            <v>Display</v>
          </cell>
          <cell r="G368">
            <v>1484</v>
          </cell>
          <cell r="H368">
            <v>341978</v>
          </cell>
          <cell r="I368">
            <v>72474</v>
          </cell>
          <cell r="J368">
            <v>50</v>
          </cell>
        </row>
        <row r="369">
          <cell r="A369" t="str">
            <v>Always_OnEGSearch</v>
          </cell>
          <cell r="B369">
            <v>45082</v>
          </cell>
          <cell r="C369">
            <v>45082</v>
          </cell>
          <cell r="D369" t="str">
            <v>Always_On</v>
          </cell>
          <cell r="E369" t="str">
            <v>EG</v>
          </cell>
          <cell r="F369" t="str">
            <v>Search</v>
          </cell>
          <cell r="G369">
            <v>3787</v>
          </cell>
          <cell r="H369">
            <v>48266</v>
          </cell>
          <cell r="I369">
            <v>41923</v>
          </cell>
          <cell r="J369">
            <v>1139</v>
          </cell>
        </row>
        <row r="370">
          <cell r="A370" t="str">
            <v>Always_OnUKYouTube</v>
          </cell>
          <cell r="B370">
            <v>45089</v>
          </cell>
          <cell r="C370">
            <v>45089</v>
          </cell>
          <cell r="D370" t="str">
            <v>Always_On</v>
          </cell>
          <cell r="E370" t="str">
            <v>UK</v>
          </cell>
          <cell r="F370" t="str">
            <v>YouTube</v>
          </cell>
          <cell r="G370">
            <v>5711</v>
          </cell>
          <cell r="H370">
            <v>439895</v>
          </cell>
          <cell r="I370">
            <v>182062</v>
          </cell>
          <cell r="J370">
            <v>210</v>
          </cell>
        </row>
        <row r="371">
          <cell r="A371" t="str">
            <v>Always_OnUKSocial</v>
          </cell>
          <cell r="B371">
            <v>45089</v>
          </cell>
          <cell r="C371">
            <v>45089</v>
          </cell>
          <cell r="D371" t="str">
            <v>Always_On</v>
          </cell>
          <cell r="E371" t="str">
            <v>UK</v>
          </cell>
          <cell r="F371" t="str">
            <v>Social</v>
          </cell>
          <cell r="G371">
            <v>4135</v>
          </cell>
          <cell r="H371">
            <v>262948</v>
          </cell>
          <cell r="I371">
            <v>117548</v>
          </cell>
          <cell r="J371">
            <v>135</v>
          </cell>
        </row>
        <row r="372">
          <cell r="A372" t="str">
            <v>Always_OnUKDisplay</v>
          </cell>
          <cell r="B372">
            <v>45089</v>
          </cell>
          <cell r="C372">
            <v>45089</v>
          </cell>
          <cell r="D372" t="str">
            <v>Always_On</v>
          </cell>
          <cell r="E372" t="str">
            <v>UK</v>
          </cell>
          <cell r="F372" t="str">
            <v>Display</v>
          </cell>
          <cell r="G372">
            <v>2722</v>
          </cell>
          <cell r="H372">
            <v>712507</v>
          </cell>
          <cell r="I372">
            <v>136563</v>
          </cell>
          <cell r="J372">
            <v>22</v>
          </cell>
        </row>
        <row r="373">
          <cell r="A373" t="str">
            <v>Always_OnUKSearch</v>
          </cell>
          <cell r="B373">
            <v>45089</v>
          </cell>
          <cell r="C373">
            <v>45089</v>
          </cell>
          <cell r="D373" t="str">
            <v>Always_On</v>
          </cell>
          <cell r="E373" t="str">
            <v>UK</v>
          </cell>
          <cell r="F373" t="str">
            <v>Search</v>
          </cell>
          <cell r="G373">
            <v>5128</v>
          </cell>
          <cell r="H373">
            <v>52073</v>
          </cell>
          <cell r="I373">
            <v>45719</v>
          </cell>
          <cell r="J373">
            <v>403</v>
          </cell>
        </row>
        <row r="374">
          <cell r="A374" t="str">
            <v>Always_OnDEYouTube</v>
          </cell>
          <cell r="B374">
            <v>45089</v>
          </cell>
          <cell r="C374">
            <v>45089</v>
          </cell>
          <cell r="D374" t="str">
            <v>Always_On</v>
          </cell>
          <cell r="E374" t="str">
            <v>DE</v>
          </cell>
          <cell r="F374" t="str">
            <v>YouTube</v>
          </cell>
          <cell r="G374">
            <v>3584</v>
          </cell>
          <cell r="H374">
            <v>322339</v>
          </cell>
          <cell r="I374">
            <v>157233</v>
          </cell>
          <cell r="J374">
            <v>116</v>
          </cell>
        </row>
        <row r="375">
          <cell r="A375" t="str">
            <v>Always_OnDESocial</v>
          </cell>
          <cell r="B375">
            <v>45089</v>
          </cell>
          <cell r="C375">
            <v>45089</v>
          </cell>
          <cell r="D375" t="str">
            <v>Always_On</v>
          </cell>
          <cell r="E375" t="str">
            <v>DE</v>
          </cell>
          <cell r="F375" t="str">
            <v>Social</v>
          </cell>
          <cell r="G375">
            <v>4274</v>
          </cell>
          <cell r="H375">
            <v>217805</v>
          </cell>
          <cell r="I375">
            <v>106770</v>
          </cell>
          <cell r="J375">
            <v>138</v>
          </cell>
        </row>
        <row r="376">
          <cell r="A376" t="str">
            <v>Always_OnDEDisplay</v>
          </cell>
          <cell r="B376">
            <v>45089</v>
          </cell>
          <cell r="C376">
            <v>45089</v>
          </cell>
          <cell r="D376" t="str">
            <v>Always_On</v>
          </cell>
          <cell r="E376" t="str">
            <v>DE</v>
          </cell>
          <cell r="F376" t="str">
            <v>Display</v>
          </cell>
          <cell r="G376">
            <v>2419</v>
          </cell>
          <cell r="H376">
            <v>637569</v>
          </cell>
          <cell r="I376">
            <v>156041</v>
          </cell>
          <cell r="J376">
            <v>18</v>
          </cell>
        </row>
        <row r="377">
          <cell r="A377" t="str">
            <v>Always_OnDESearch</v>
          </cell>
          <cell r="B377">
            <v>45089</v>
          </cell>
          <cell r="C377">
            <v>45089</v>
          </cell>
          <cell r="D377" t="str">
            <v>Always_On</v>
          </cell>
          <cell r="E377" t="str">
            <v>DE</v>
          </cell>
          <cell r="F377" t="str">
            <v>Search</v>
          </cell>
          <cell r="G377">
            <v>3290</v>
          </cell>
          <cell r="H377">
            <v>39592</v>
          </cell>
          <cell r="I377">
            <v>33146</v>
          </cell>
          <cell r="J377">
            <v>294</v>
          </cell>
        </row>
        <row r="378">
          <cell r="A378" t="str">
            <v>Always_OnSAYouTube</v>
          </cell>
          <cell r="B378">
            <v>45089</v>
          </cell>
          <cell r="C378">
            <v>45089</v>
          </cell>
          <cell r="D378" t="str">
            <v>Always_On</v>
          </cell>
          <cell r="E378" t="str">
            <v>SA</v>
          </cell>
          <cell r="F378" t="str">
            <v>YouTube</v>
          </cell>
          <cell r="G378">
            <v>2574</v>
          </cell>
          <cell r="H378">
            <v>179213</v>
          </cell>
          <cell r="I378">
            <v>63066</v>
          </cell>
          <cell r="J378">
            <v>343</v>
          </cell>
        </row>
        <row r="379">
          <cell r="A379" t="str">
            <v>Always_OnSASocial</v>
          </cell>
          <cell r="B379">
            <v>45089</v>
          </cell>
          <cell r="C379">
            <v>45089</v>
          </cell>
          <cell r="D379" t="str">
            <v>Always_On</v>
          </cell>
          <cell r="E379" t="str">
            <v>SA</v>
          </cell>
          <cell r="F379" t="str">
            <v>Social</v>
          </cell>
          <cell r="G379">
            <v>3867</v>
          </cell>
          <cell r="H379">
            <v>263117</v>
          </cell>
          <cell r="I379">
            <v>88681</v>
          </cell>
          <cell r="J379">
            <v>467</v>
          </cell>
        </row>
        <row r="380">
          <cell r="A380" t="str">
            <v>Always_OnSADisplay</v>
          </cell>
          <cell r="B380">
            <v>45089</v>
          </cell>
          <cell r="C380">
            <v>45089</v>
          </cell>
          <cell r="D380" t="str">
            <v>Always_On</v>
          </cell>
          <cell r="E380" t="str">
            <v>SA</v>
          </cell>
          <cell r="F380" t="str">
            <v>Display</v>
          </cell>
          <cell r="G380">
            <v>1716</v>
          </cell>
          <cell r="H380">
            <v>431789</v>
          </cell>
          <cell r="I380">
            <v>99946</v>
          </cell>
          <cell r="J380">
            <v>50</v>
          </cell>
        </row>
        <row r="381">
          <cell r="A381" t="str">
            <v>Always_OnSASearch</v>
          </cell>
          <cell r="B381">
            <v>45089</v>
          </cell>
          <cell r="C381">
            <v>45089</v>
          </cell>
          <cell r="D381" t="str">
            <v>Always_On</v>
          </cell>
          <cell r="E381" t="str">
            <v>SA</v>
          </cell>
          <cell r="F381" t="str">
            <v>Search</v>
          </cell>
          <cell r="G381">
            <v>3452</v>
          </cell>
          <cell r="H381">
            <v>37912</v>
          </cell>
          <cell r="I381">
            <v>32800</v>
          </cell>
          <cell r="J381">
            <v>999</v>
          </cell>
        </row>
        <row r="382">
          <cell r="A382" t="str">
            <v>Always_OnEGYouTube</v>
          </cell>
          <cell r="B382">
            <v>45089</v>
          </cell>
          <cell r="C382">
            <v>45089</v>
          </cell>
          <cell r="D382" t="str">
            <v>Always_On</v>
          </cell>
          <cell r="E382" t="str">
            <v>EG</v>
          </cell>
          <cell r="F382" t="str">
            <v>YouTube</v>
          </cell>
          <cell r="G382">
            <v>4791</v>
          </cell>
          <cell r="H382">
            <v>241469</v>
          </cell>
          <cell r="I382">
            <v>81815</v>
          </cell>
          <cell r="J382">
            <v>645</v>
          </cell>
        </row>
        <row r="383">
          <cell r="A383" t="str">
            <v>Always_OnEGSocial</v>
          </cell>
          <cell r="B383">
            <v>45089</v>
          </cell>
          <cell r="C383">
            <v>45089</v>
          </cell>
          <cell r="D383" t="str">
            <v>Always_On</v>
          </cell>
          <cell r="E383" t="str">
            <v>EG</v>
          </cell>
          <cell r="F383" t="str">
            <v>Social</v>
          </cell>
          <cell r="G383">
            <v>2061</v>
          </cell>
          <cell r="H383">
            <v>108484</v>
          </cell>
          <cell r="I383">
            <v>45342</v>
          </cell>
          <cell r="J383">
            <v>248</v>
          </cell>
        </row>
        <row r="384">
          <cell r="A384" t="str">
            <v>Always_OnEGDisplay</v>
          </cell>
          <cell r="B384">
            <v>45089</v>
          </cell>
          <cell r="C384">
            <v>45089</v>
          </cell>
          <cell r="D384" t="str">
            <v>Always_On</v>
          </cell>
          <cell r="E384" t="str">
            <v>EG</v>
          </cell>
          <cell r="F384" t="str">
            <v>Display</v>
          </cell>
          <cell r="G384">
            <v>1944</v>
          </cell>
          <cell r="H384">
            <v>523841</v>
          </cell>
          <cell r="I384">
            <v>89638</v>
          </cell>
          <cell r="J384">
            <v>55</v>
          </cell>
        </row>
        <row r="385">
          <cell r="A385" t="str">
            <v>Always_OnEGSearch</v>
          </cell>
          <cell r="B385">
            <v>45089</v>
          </cell>
          <cell r="C385">
            <v>45089</v>
          </cell>
          <cell r="D385" t="str">
            <v>Always_On</v>
          </cell>
          <cell r="E385" t="str">
            <v>EG</v>
          </cell>
          <cell r="F385" t="str">
            <v>Search</v>
          </cell>
          <cell r="G385">
            <v>3682</v>
          </cell>
          <cell r="H385">
            <v>37441</v>
          </cell>
          <cell r="I385">
            <v>31451</v>
          </cell>
          <cell r="J385">
            <v>1077</v>
          </cell>
        </row>
        <row r="386">
          <cell r="A386" t="str">
            <v>Always_OnUKYouTube</v>
          </cell>
          <cell r="B386">
            <v>45096</v>
          </cell>
          <cell r="C386">
            <v>45096</v>
          </cell>
          <cell r="D386" t="str">
            <v>Always_On</v>
          </cell>
          <cell r="E386" t="str">
            <v>UK</v>
          </cell>
          <cell r="F386" t="str">
            <v>YouTube</v>
          </cell>
          <cell r="G386">
            <v>6132</v>
          </cell>
          <cell r="H386">
            <v>438749</v>
          </cell>
          <cell r="I386">
            <v>205691</v>
          </cell>
          <cell r="J386">
            <v>190</v>
          </cell>
        </row>
        <row r="387">
          <cell r="A387" t="str">
            <v>Always_OnUKSocial</v>
          </cell>
          <cell r="B387">
            <v>45096</v>
          </cell>
          <cell r="C387">
            <v>45096</v>
          </cell>
          <cell r="D387" t="str">
            <v>Always_On</v>
          </cell>
          <cell r="E387" t="str">
            <v>UK</v>
          </cell>
          <cell r="F387" t="str">
            <v>Social</v>
          </cell>
          <cell r="G387">
            <v>4826</v>
          </cell>
          <cell r="H387">
            <v>395889</v>
          </cell>
          <cell r="I387">
            <v>136760</v>
          </cell>
          <cell r="J387">
            <v>161</v>
          </cell>
        </row>
        <row r="388">
          <cell r="A388" t="str">
            <v>Always_OnUKDisplay</v>
          </cell>
          <cell r="B388">
            <v>45096</v>
          </cell>
          <cell r="C388">
            <v>45096</v>
          </cell>
          <cell r="D388" t="str">
            <v>Always_On</v>
          </cell>
          <cell r="E388" t="str">
            <v>UK</v>
          </cell>
          <cell r="F388" t="str">
            <v>Display</v>
          </cell>
          <cell r="G388">
            <v>2143</v>
          </cell>
          <cell r="H388">
            <v>476997</v>
          </cell>
          <cell r="I388">
            <v>118018</v>
          </cell>
          <cell r="J388">
            <v>16</v>
          </cell>
        </row>
        <row r="389">
          <cell r="A389" t="str">
            <v>Always_OnUKSearch</v>
          </cell>
          <cell r="B389">
            <v>45096</v>
          </cell>
          <cell r="C389">
            <v>45096</v>
          </cell>
          <cell r="D389" t="str">
            <v>Always_On</v>
          </cell>
          <cell r="E389" t="str">
            <v>UK</v>
          </cell>
          <cell r="F389" t="str">
            <v>Search</v>
          </cell>
          <cell r="G389">
            <v>5782</v>
          </cell>
          <cell r="H389">
            <v>85271</v>
          </cell>
          <cell r="I389">
            <v>77225</v>
          </cell>
          <cell r="J389">
            <v>490</v>
          </cell>
        </row>
        <row r="390">
          <cell r="A390" t="str">
            <v>Always_OnDEYouTube</v>
          </cell>
          <cell r="B390">
            <v>45096</v>
          </cell>
          <cell r="C390">
            <v>45096</v>
          </cell>
          <cell r="D390" t="str">
            <v>Always_On</v>
          </cell>
          <cell r="E390" t="str">
            <v>DE</v>
          </cell>
          <cell r="F390" t="str">
            <v>YouTube</v>
          </cell>
          <cell r="G390">
            <v>5361</v>
          </cell>
          <cell r="H390">
            <v>303761</v>
          </cell>
          <cell r="I390">
            <v>110478</v>
          </cell>
          <cell r="J390">
            <v>182</v>
          </cell>
        </row>
        <row r="391">
          <cell r="A391" t="str">
            <v>Always_OnDESocial</v>
          </cell>
          <cell r="B391">
            <v>45096</v>
          </cell>
          <cell r="C391">
            <v>45096</v>
          </cell>
          <cell r="D391" t="str">
            <v>Always_On</v>
          </cell>
          <cell r="E391" t="str">
            <v>DE</v>
          </cell>
          <cell r="F391" t="str">
            <v>Social</v>
          </cell>
          <cell r="G391">
            <v>5019</v>
          </cell>
          <cell r="H391">
            <v>417269</v>
          </cell>
          <cell r="I391">
            <v>153283</v>
          </cell>
          <cell r="J391">
            <v>177</v>
          </cell>
        </row>
        <row r="392">
          <cell r="A392" t="str">
            <v>Always_OnDEDisplay</v>
          </cell>
          <cell r="B392">
            <v>45096</v>
          </cell>
          <cell r="C392">
            <v>45096</v>
          </cell>
          <cell r="D392" t="str">
            <v>Always_On</v>
          </cell>
          <cell r="E392" t="str">
            <v>DE</v>
          </cell>
          <cell r="F392" t="str">
            <v>Display</v>
          </cell>
          <cell r="G392">
            <v>2202</v>
          </cell>
          <cell r="H392">
            <v>485595</v>
          </cell>
          <cell r="I392">
            <v>82836</v>
          </cell>
          <cell r="J392">
            <v>17</v>
          </cell>
        </row>
        <row r="393">
          <cell r="A393" t="str">
            <v>Always_OnDESearch</v>
          </cell>
          <cell r="B393">
            <v>45096</v>
          </cell>
          <cell r="C393">
            <v>45096</v>
          </cell>
          <cell r="D393" t="str">
            <v>Always_On</v>
          </cell>
          <cell r="E393" t="str">
            <v>DE</v>
          </cell>
          <cell r="F393" t="str">
            <v>Search</v>
          </cell>
          <cell r="G393">
            <v>4842</v>
          </cell>
          <cell r="H393">
            <v>54431</v>
          </cell>
          <cell r="I393">
            <v>46630</v>
          </cell>
          <cell r="J393">
            <v>402</v>
          </cell>
        </row>
        <row r="394">
          <cell r="A394" t="str">
            <v>Always_OnSAYouTube</v>
          </cell>
          <cell r="B394">
            <v>45096</v>
          </cell>
          <cell r="C394">
            <v>45096</v>
          </cell>
          <cell r="D394" t="str">
            <v>Always_On</v>
          </cell>
          <cell r="E394" t="str">
            <v>SA</v>
          </cell>
          <cell r="F394" t="str">
            <v>YouTube</v>
          </cell>
          <cell r="G394">
            <v>2596</v>
          </cell>
          <cell r="H394">
            <v>142759</v>
          </cell>
          <cell r="I394">
            <v>61924</v>
          </cell>
          <cell r="J394">
            <v>309</v>
          </cell>
        </row>
        <row r="395">
          <cell r="A395" t="str">
            <v>Always_OnSASocial</v>
          </cell>
          <cell r="B395">
            <v>45096</v>
          </cell>
          <cell r="C395">
            <v>45096</v>
          </cell>
          <cell r="D395" t="str">
            <v>Always_On</v>
          </cell>
          <cell r="E395" t="str">
            <v>SA</v>
          </cell>
          <cell r="F395" t="str">
            <v>Social</v>
          </cell>
          <cell r="G395">
            <v>3371</v>
          </cell>
          <cell r="H395">
            <v>239353</v>
          </cell>
          <cell r="I395">
            <v>115038</v>
          </cell>
          <cell r="J395">
            <v>409</v>
          </cell>
        </row>
        <row r="396">
          <cell r="A396" t="str">
            <v>Always_OnSADisplay</v>
          </cell>
          <cell r="B396">
            <v>45096</v>
          </cell>
          <cell r="C396">
            <v>45096</v>
          </cell>
          <cell r="D396" t="str">
            <v>Always_On</v>
          </cell>
          <cell r="E396" t="str">
            <v>SA</v>
          </cell>
          <cell r="F396" t="str">
            <v>Display</v>
          </cell>
          <cell r="G396">
            <v>1203</v>
          </cell>
          <cell r="H396">
            <v>277338</v>
          </cell>
          <cell r="I396">
            <v>67532</v>
          </cell>
          <cell r="J396">
            <v>38</v>
          </cell>
        </row>
        <row r="397">
          <cell r="A397" t="str">
            <v>Always_OnSASearch</v>
          </cell>
          <cell r="B397">
            <v>45096</v>
          </cell>
          <cell r="C397">
            <v>45096</v>
          </cell>
          <cell r="D397" t="str">
            <v>Always_On</v>
          </cell>
          <cell r="E397" t="str">
            <v>SA</v>
          </cell>
          <cell r="F397" t="str">
            <v>Search</v>
          </cell>
          <cell r="G397">
            <v>4528</v>
          </cell>
          <cell r="H397">
            <v>54552</v>
          </cell>
          <cell r="I397">
            <v>49559</v>
          </cell>
          <cell r="J397">
            <v>1518</v>
          </cell>
        </row>
        <row r="398">
          <cell r="A398" t="str">
            <v>Always_OnEGYouTube</v>
          </cell>
          <cell r="B398">
            <v>45096</v>
          </cell>
          <cell r="C398">
            <v>45096</v>
          </cell>
          <cell r="D398" t="str">
            <v>Always_On</v>
          </cell>
          <cell r="E398" t="str">
            <v>EG</v>
          </cell>
          <cell r="F398" t="str">
            <v>YouTube</v>
          </cell>
          <cell r="G398">
            <v>2470</v>
          </cell>
          <cell r="H398">
            <v>158003</v>
          </cell>
          <cell r="I398">
            <v>73116</v>
          </cell>
          <cell r="J398">
            <v>285</v>
          </cell>
        </row>
        <row r="399">
          <cell r="A399" t="str">
            <v>Always_OnEGSocial</v>
          </cell>
          <cell r="B399">
            <v>45096</v>
          </cell>
          <cell r="C399">
            <v>45096</v>
          </cell>
          <cell r="D399" t="str">
            <v>Always_On</v>
          </cell>
          <cell r="E399" t="str">
            <v>EG</v>
          </cell>
          <cell r="F399" t="str">
            <v>Social</v>
          </cell>
          <cell r="G399">
            <v>4532</v>
          </cell>
          <cell r="H399">
            <v>360969</v>
          </cell>
          <cell r="I399">
            <v>142626</v>
          </cell>
          <cell r="J399">
            <v>531</v>
          </cell>
        </row>
        <row r="400">
          <cell r="A400" t="str">
            <v>Always_OnEGDisplay</v>
          </cell>
          <cell r="B400">
            <v>45096</v>
          </cell>
          <cell r="C400">
            <v>45096</v>
          </cell>
          <cell r="D400" t="str">
            <v>Always_On</v>
          </cell>
          <cell r="E400" t="str">
            <v>EG</v>
          </cell>
          <cell r="F400" t="str">
            <v>Display</v>
          </cell>
          <cell r="G400">
            <v>1877</v>
          </cell>
          <cell r="H400">
            <v>445494</v>
          </cell>
          <cell r="I400">
            <v>80792</v>
          </cell>
          <cell r="J400">
            <v>53</v>
          </cell>
        </row>
        <row r="401">
          <cell r="A401" t="str">
            <v>Always_OnEGSearch</v>
          </cell>
          <cell r="B401">
            <v>45096</v>
          </cell>
          <cell r="C401">
            <v>45096</v>
          </cell>
          <cell r="D401" t="str">
            <v>Always_On</v>
          </cell>
          <cell r="E401" t="str">
            <v>EG</v>
          </cell>
          <cell r="F401" t="str">
            <v>Search</v>
          </cell>
          <cell r="G401">
            <v>2629</v>
          </cell>
          <cell r="H401">
            <v>32319</v>
          </cell>
          <cell r="I401">
            <v>28874</v>
          </cell>
          <cell r="J401">
            <v>762</v>
          </cell>
        </row>
        <row r="402">
          <cell r="A402" t="str">
            <v>Always_OnUKYouTube</v>
          </cell>
          <cell r="B402">
            <v>45103</v>
          </cell>
          <cell r="C402">
            <v>45103</v>
          </cell>
          <cell r="D402" t="str">
            <v>Always_On</v>
          </cell>
          <cell r="E402" t="str">
            <v>UK</v>
          </cell>
          <cell r="F402" t="str">
            <v>YouTube</v>
          </cell>
          <cell r="G402">
            <v>4565</v>
          </cell>
          <cell r="H402">
            <v>306452</v>
          </cell>
          <cell r="I402">
            <v>123345</v>
          </cell>
          <cell r="J402">
            <v>142</v>
          </cell>
        </row>
        <row r="403">
          <cell r="A403" t="str">
            <v>Always_OnUKSocial</v>
          </cell>
          <cell r="B403">
            <v>45103</v>
          </cell>
          <cell r="C403">
            <v>45103</v>
          </cell>
          <cell r="D403" t="str">
            <v>Always_On</v>
          </cell>
          <cell r="E403" t="str">
            <v>UK</v>
          </cell>
          <cell r="F403" t="str">
            <v>Social</v>
          </cell>
          <cell r="G403">
            <v>5076</v>
          </cell>
          <cell r="H403">
            <v>439454</v>
          </cell>
          <cell r="I403">
            <v>196030</v>
          </cell>
          <cell r="J403">
            <v>174</v>
          </cell>
        </row>
        <row r="404">
          <cell r="A404" t="str">
            <v>Always_OnUKDisplay</v>
          </cell>
          <cell r="B404">
            <v>45103</v>
          </cell>
          <cell r="C404">
            <v>45103</v>
          </cell>
          <cell r="D404" t="str">
            <v>Always_On</v>
          </cell>
          <cell r="E404" t="str">
            <v>UK</v>
          </cell>
          <cell r="F404" t="str">
            <v>Display</v>
          </cell>
          <cell r="G404">
            <v>2567</v>
          </cell>
          <cell r="H404">
            <v>677160</v>
          </cell>
          <cell r="I404">
            <v>152780</v>
          </cell>
          <cell r="J404">
            <v>21</v>
          </cell>
        </row>
        <row r="405">
          <cell r="A405" t="str">
            <v>Always_OnUKSearch</v>
          </cell>
          <cell r="B405">
            <v>45103</v>
          </cell>
          <cell r="C405">
            <v>45103</v>
          </cell>
          <cell r="D405" t="str">
            <v>Always_On</v>
          </cell>
          <cell r="E405" t="str">
            <v>UK</v>
          </cell>
          <cell r="F405" t="str">
            <v>Search</v>
          </cell>
          <cell r="G405">
            <v>3810</v>
          </cell>
          <cell r="H405">
            <v>53389</v>
          </cell>
          <cell r="I405">
            <v>45708</v>
          </cell>
          <cell r="J405">
            <v>322</v>
          </cell>
        </row>
        <row r="406">
          <cell r="A406" t="str">
            <v>Always_OnDEYouTube</v>
          </cell>
          <cell r="B406">
            <v>45103</v>
          </cell>
          <cell r="C406">
            <v>45103</v>
          </cell>
          <cell r="D406" t="str">
            <v>Always_On</v>
          </cell>
          <cell r="E406" t="str">
            <v>DE</v>
          </cell>
          <cell r="F406" t="str">
            <v>YouTube</v>
          </cell>
          <cell r="G406">
            <v>6872</v>
          </cell>
          <cell r="H406">
            <v>596148</v>
          </cell>
          <cell r="I406">
            <v>241419</v>
          </cell>
          <cell r="J406">
            <v>250</v>
          </cell>
        </row>
        <row r="407">
          <cell r="A407" t="str">
            <v>Always_OnDESocial</v>
          </cell>
          <cell r="B407">
            <v>45103</v>
          </cell>
          <cell r="C407">
            <v>45103</v>
          </cell>
          <cell r="D407" t="str">
            <v>Always_On</v>
          </cell>
          <cell r="E407" t="str">
            <v>DE</v>
          </cell>
          <cell r="F407" t="str">
            <v>Social</v>
          </cell>
          <cell r="G407">
            <v>4192</v>
          </cell>
          <cell r="H407">
            <v>314043</v>
          </cell>
          <cell r="I407">
            <v>125329</v>
          </cell>
          <cell r="J407">
            <v>151</v>
          </cell>
        </row>
        <row r="408">
          <cell r="A408" t="str">
            <v>Always_OnDEDisplay</v>
          </cell>
          <cell r="B408">
            <v>45103</v>
          </cell>
          <cell r="C408">
            <v>45103</v>
          </cell>
          <cell r="D408" t="str">
            <v>Always_On</v>
          </cell>
          <cell r="E408" t="str">
            <v>DE</v>
          </cell>
          <cell r="F408" t="str">
            <v>Display</v>
          </cell>
          <cell r="G408">
            <v>3339</v>
          </cell>
          <cell r="H408">
            <v>761583</v>
          </cell>
          <cell r="I408">
            <v>171104</v>
          </cell>
          <cell r="J408">
            <v>30</v>
          </cell>
        </row>
        <row r="409">
          <cell r="A409" t="str">
            <v>Always_OnDESearch</v>
          </cell>
          <cell r="B409">
            <v>45103</v>
          </cell>
          <cell r="C409">
            <v>45103</v>
          </cell>
          <cell r="D409" t="str">
            <v>Always_On</v>
          </cell>
          <cell r="E409" t="str">
            <v>DE</v>
          </cell>
          <cell r="F409" t="str">
            <v>Search</v>
          </cell>
          <cell r="G409">
            <v>5940</v>
          </cell>
          <cell r="H409">
            <v>81469</v>
          </cell>
          <cell r="I409">
            <v>73507</v>
          </cell>
          <cell r="J409">
            <v>459</v>
          </cell>
        </row>
        <row r="410">
          <cell r="A410" t="str">
            <v>Always_OnSAYouTube</v>
          </cell>
          <cell r="B410">
            <v>45103</v>
          </cell>
          <cell r="C410">
            <v>45103</v>
          </cell>
          <cell r="D410" t="str">
            <v>Always_On</v>
          </cell>
          <cell r="E410" t="str">
            <v>SA</v>
          </cell>
          <cell r="F410" t="str">
            <v>YouTube</v>
          </cell>
          <cell r="G410">
            <v>3760</v>
          </cell>
          <cell r="H410">
            <v>229814</v>
          </cell>
          <cell r="I410">
            <v>85057</v>
          </cell>
          <cell r="J410">
            <v>438</v>
          </cell>
        </row>
        <row r="411">
          <cell r="A411" t="str">
            <v>Always_OnSASocial</v>
          </cell>
          <cell r="B411">
            <v>45103</v>
          </cell>
          <cell r="C411">
            <v>45103</v>
          </cell>
          <cell r="D411" t="str">
            <v>Always_On</v>
          </cell>
          <cell r="E411" t="str">
            <v>SA</v>
          </cell>
          <cell r="F411" t="str">
            <v>Social</v>
          </cell>
          <cell r="G411">
            <v>3913</v>
          </cell>
          <cell r="H411">
            <v>337703</v>
          </cell>
          <cell r="I411">
            <v>131409</v>
          </cell>
          <cell r="J411">
            <v>504</v>
          </cell>
        </row>
        <row r="412">
          <cell r="A412" t="str">
            <v>Always_OnSADisplay</v>
          </cell>
          <cell r="B412">
            <v>45103</v>
          </cell>
          <cell r="C412">
            <v>45103</v>
          </cell>
          <cell r="D412" t="str">
            <v>Always_On</v>
          </cell>
          <cell r="E412" t="str">
            <v>SA</v>
          </cell>
          <cell r="F412" t="str">
            <v>Display</v>
          </cell>
          <cell r="G412">
            <v>2866</v>
          </cell>
          <cell r="H412">
            <v>633821</v>
          </cell>
          <cell r="I412">
            <v>136182</v>
          </cell>
          <cell r="J412">
            <v>88</v>
          </cell>
        </row>
        <row r="413">
          <cell r="A413" t="str">
            <v>Always_OnSASearch</v>
          </cell>
          <cell r="B413">
            <v>45103</v>
          </cell>
          <cell r="C413">
            <v>45103</v>
          </cell>
          <cell r="D413" t="str">
            <v>Always_On</v>
          </cell>
          <cell r="E413" t="str">
            <v>SA</v>
          </cell>
          <cell r="F413" t="str">
            <v>Search</v>
          </cell>
          <cell r="G413">
            <v>4174</v>
          </cell>
          <cell r="H413">
            <v>43931</v>
          </cell>
          <cell r="I413">
            <v>37921</v>
          </cell>
          <cell r="J413">
            <v>1327</v>
          </cell>
        </row>
        <row r="414">
          <cell r="A414" t="str">
            <v>Always_OnEGYouTube</v>
          </cell>
          <cell r="B414">
            <v>45103</v>
          </cell>
          <cell r="C414">
            <v>45103</v>
          </cell>
          <cell r="D414" t="str">
            <v>Always_On</v>
          </cell>
          <cell r="E414" t="str">
            <v>EG</v>
          </cell>
          <cell r="F414" t="str">
            <v>YouTube</v>
          </cell>
          <cell r="G414">
            <v>3926</v>
          </cell>
          <cell r="H414">
            <v>321208</v>
          </cell>
          <cell r="I414">
            <v>122588</v>
          </cell>
          <cell r="J414">
            <v>452</v>
          </cell>
        </row>
        <row r="415">
          <cell r="A415" t="str">
            <v>Always_OnEGSocial</v>
          </cell>
          <cell r="B415">
            <v>45103</v>
          </cell>
          <cell r="C415">
            <v>45103</v>
          </cell>
          <cell r="D415" t="str">
            <v>Always_On</v>
          </cell>
          <cell r="E415" t="str">
            <v>EG</v>
          </cell>
          <cell r="F415" t="str">
            <v>Social</v>
          </cell>
          <cell r="G415">
            <v>3053</v>
          </cell>
          <cell r="H415">
            <v>183043</v>
          </cell>
          <cell r="I415">
            <v>66358</v>
          </cell>
          <cell r="J415">
            <v>356</v>
          </cell>
        </row>
        <row r="416">
          <cell r="A416" t="str">
            <v>Always_OnEGDisplay</v>
          </cell>
          <cell r="B416">
            <v>45103</v>
          </cell>
          <cell r="C416">
            <v>45103</v>
          </cell>
          <cell r="D416" t="str">
            <v>Always_On</v>
          </cell>
          <cell r="E416" t="str">
            <v>EG</v>
          </cell>
          <cell r="F416" t="str">
            <v>Display</v>
          </cell>
          <cell r="G416">
            <v>1480</v>
          </cell>
          <cell r="H416">
            <v>413966</v>
          </cell>
          <cell r="I416">
            <v>75416</v>
          </cell>
          <cell r="J416">
            <v>49</v>
          </cell>
        </row>
        <row r="417">
          <cell r="A417" t="str">
            <v>Always_OnEGSearch</v>
          </cell>
          <cell r="B417">
            <v>45103</v>
          </cell>
          <cell r="C417">
            <v>45103</v>
          </cell>
          <cell r="D417" t="str">
            <v>Always_On</v>
          </cell>
          <cell r="E417" t="str">
            <v>EG</v>
          </cell>
          <cell r="F417" t="str">
            <v>Search</v>
          </cell>
          <cell r="G417">
            <v>4929</v>
          </cell>
          <cell r="H417">
            <v>60355</v>
          </cell>
          <cell r="I417">
            <v>53384</v>
          </cell>
          <cell r="J417">
            <v>1427</v>
          </cell>
        </row>
        <row r="418">
          <cell r="A418" t="str">
            <v>Always_OnUKYouTube</v>
          </cell>
          <cell r="B418">
            <v>45110</v>
          </cell>
          <cell r="C418">
            <v>45110</v>
          </cell>
          <cell r="D418" t="str">
            <v>Always_On</v>
          </cell>
          <cell r="E418" t="str">
            <v>UK</v>
          </cell>
          <cell r="F418" t="str">
            <v>YouTube</v>
          </cell>
          <cell r="G418">
            <v>4907</v>
          </cell>
          <cell r="H418">
            <v>415019</v>
          </cell>
          <cell r="I418">
            <v>184340</v>
          </cell>
          <cell r="J418">
            <v>165</v>
          </cell>
        </row>
        <row r="419">
          <cell r="A419" t="str">
            <v>Always_OnUKSocial</v>
          </cell>
          <cell r="B419">
            <v>45110</v>
          </cell>
          <cell r="C419">
            <v>45110</v>
          </cell>
          <cell r="D419" t="str">
            <v>Always_On</v>
          </cell>
          <cell r="E419" t="str">
            <v>UK</v>
          </cell>
          <cell r="F419" t="str">
            <v>Social</v>
          </cell>
          <cell r="G419">
            <v>4797</v>
          </cell>
          <cell r="H419">
            <v>394071</v>
          </cell>
          <cell r="I419">
            <v>166981</v>
          </cell>
          <cell r="J419">
            <v>169</v>
          </cell>
        </row>
        <row r="420">
          <cell r="A420" t="str">
            <v>Always_OnUKDisplay</v>
          </cell>
          <cell r="B420">
            <v>45110</v>
          </cell>
          <cell r="C420">
            <v>45110</v>
          </cell>
          <cell r="D420" t="str">
            <v>Always_On</v>
          </cell>
          <cell r="E420" t="str">
            <v>UK</v>
          </cell>
          <cell r="F420" t="str">
            <v>Display</v>
          </cell>
          <cell r="G420">
            <v>3997</v>
          </cell>
          <cell r="H420">
            <v>972040</v>
          </cell>
          <cell r="I420">
            <v>199157</v>
          </cell>
          <cell r="J420">
            <v>34</v>
          </cell>
        </row>
        <row r="421">
          <cell r="A421" t="str">
            <v>Always_OnUKSearch</v>
          </cell>
          <cell r="B421">
            <v>45110</v>
          </cell>
          <cell r="C421">
            <v>45110</v>
          </cell>
          <cell r="D421" t="str">
            <v>Always_On</v>
          </cell>
          <cell r="E421" t="str">
            <v>UK</v>
          </cell>
          <cell r="F421" t="str">
            <v>Search</v>
          </cell>
          <cell r="G421">
            <v>3694</v>
          </cell>
          <cell r="H421">
            <v>45213</v>
          </cell>
          <cell r="I421">
            <v>39066</v>
          </cell>
          <cell r="J421">
            <v>300</v>
          </cell>
        </row>
        <row r="422">
          <cell r="A422" t="str">
            <v>Always_OnDEYouTube</v>
          </cell>
          <cell r="B422">
            <v>45110</v>
          </cell>
          <cell r="C422">
            <v>45110</v>
          </cell>
          <cell r="D422" t="str">
            <v>Always_On</v>
          </cell>
          <cell r="E422" t="str">
            <v>DE</v>
          </cell>
          <cell r="F422" t="str">
            <v>YouTube</v>
          </cell>
          <cell r="G422">
            <v>3439</v>
          </cell>
          <cell r="H422">
            <v>233900</v>
          </cell>
          <cell r="I422">
            <v>95646</v>
          </cell>
          <cell r="J422">
            <v>113</v>
          </cell>
        </row>
        <row r="423">
          <cell r="A423" t="str">
            <v>Always_OnDESocial</v>
          </cell>
          <cell r="B423">
            <v>45110</v>
          </cell>
          <cell r="C423">
            <v>45110</v>
          </cell>
          <cell r="D423" t="str">
            <v>Always_On</v>
          </cell>
          <cell r="E423" t="str">
            <v>DE</v>
          </cell>
          <cell r="F423" t="str">
            <v>Social</v>
          </cell>
          <cell r="G423">
            <v>5991</v>
          </cell>
          <cell r="H423">
            <v>474415</v>
          </cell>
          <cell r="I423">
            <v>167986</v>
          </cell>
          <cell r="J423">
            <v>209</v>
          </cell>
        </row>
        <row r="424">
          <cell r="A424" t="str">
            <v>Always_OnDEDisplay</v>
          </cell>
          <cell r="B424">
            <v>45110</v>
          </cell>
          <cell r="C424">
            <v>45110</v>
          </cell>
          <cell r="D424" t="str">
            <v>Always_On</v>
          </cell>
          <cell r="E424" t="str">
            <v>DE</v>
          </cell>
          <cell r="F424" t="str">
            <v>Display</v>
          </cell>
          <cell r="G424">
            <v>2995</v>
          </cell>
          <cell r="H424">
            <v>698118</v>
          </cell>
          <cell r="I424">
            <v>174526</v>
          </cell>
          <cell r="J424">
            <v>22</v>
          </cell>
        </row>
        <row r="425">
          <cell r="A425" t="str">
            <v>Always_OnDESearch</v>
          </cell>
          <cell r="B425">
            <v>45110</v>
          </cell>
          <cell r="C425">
            <v>45110</v>
          </cell>
          <cell r="D425" t="str">
            <v>Always_On</v>
          </cell>
          <cell r="E425" t="str">
            <v>DE</v>
          </cell>
          <cell r="F425" t="str">
            <v>Search</v>
          </cell>
          <cell r="G425">
            <v>4191</v>
          </cell>
          <cell r="H425">
            <v>51024</v>
          </cell>
          <cell r="I425">
            <v>44059</v>
          </cell>
          <cell r="J425">
            <v>333</v>
          </cell>
        </row>
        <row r="426">
          <cell r="A426" t="str">
            <v>Always_OnSAYouTube</v>
          </cell>
          <cell r="B426">
            <v>45110</v>
          </cell>
          <cell r="C426">
            <v>45110</v>
          </cell>
          <cell r="D426" t="str">
            <v>Always_On</v>
          </cell>
          <cell r="E426" t="str">
            <v>SA</v>
          </cell>
          <cell r="F426" t="str">
            <v>YouTube</v>
          </cell>
          <cell r="G426">
            <v>3175</v>
          </cell>
          <cell r="H426">
            <v>214195</v>
          </cell>
          <cell r="I426">
            <v>99277</v>
          </cell>
          <cell r="J426">
            <v>379</v>
          </cell>
        </row>
        <row r="427">
          <cell r="A427" t="str">
            <v>Always_OnSASocial</v>
          </cell>
          <cell r="B427">
            <v>45110</v>
          </cell>
          <cell r="C427">
            <v>45110</v>
          </cell>
          <cell r="D427" t="str">
            <v>Always_On</v>
          </cell>
          <cell r="E427" t="str">
            <v>SA</v>
          </cell>
          <cell r="F427" t="str">
            <v>Social</v>
          </cell>
          <cell r="G427">
            <v>3585</v>
          </cell>
          <cell r="H427">
            <v>275709</v>
          </cell>
          <cell r="I427">
            <v>133174</v>
          </cell>
          <cell r="J427">
            <v>460</v>
          </cell>
        </row>
        <row r="428">
          <cell r="A428" t="str">
            <v>Always_OnSADisplay</v>
          </cell>
          <cell r="B428">
            <v>45110</v>
          </cell>
          <cell r="C428">
            <v>45110</v>
          </cell>
          <cell r="D428" t="str">
            <v>Always_On</v>
          </cell>
          <cell r="E428" t="str">
            <v>SA</v>
          </cell>
          <cell r="F428" t="str">
            <v>Display</v>
          </cell>
          <cell r="G428">
            <v>2224</v>
          </cell>
          <cell r="H428">
            <v>447779</v>
          </cell>
          <cell r="I428">
            <v>97389</v>
          </cell>
          <cell r="J428">
            <v>68</v>
          </cell>
        </row>
        <row r="429">
          <cell r="A429" t="str">
            <v>Always_OnSASearch</v>
          </cell>
          <cell r="B429">
            <v>45110</v>
          </cell>
          <cell r="C429">
            <v>45110</v>
          </cell>
          <cell r="D429" t="str">
            <v>Always_On</v>
          </cell>
          <cell r="E429" t="str">
            <v>SA</v>
          </cell>
          <cell r="F429" t="str">
            <v>Search</v>
          </cell>
          <cell r="G429">
            <v>2444</v>
          </cell>
          <cell r="H429">
            <v>25450</v>
          </cell>
          <cell r="I429">
            <v>22890</v>
          </cell>
          <cell r="J429">
            <v>727</v>
          </cell>
        </row>
        <row r="430">
          <cell r="A430" t="str">
            <v>Always_OnEGYouTube</v>
          </cell>
          <cell r="B430">
            <v>45110</v>
          </cell>
          <cell r="C430">
            <v>45110</v>
          </cell>
          <cell r="D430" t="str">
            <v>Always_On</v>
          </cell>
          <cell r="E430" t="str">
            <v>EG</v>
          </cell>
          <cell r="F430" t="str">
            <v>YouTube</v>
          </cell>
          <cell r="G430">
            <v>4007</v>
          </cell>
          <cell r="H430">
            <v>284443</v>
          </cell>
          <cell r="I430">
            <v>100755</v>
          </cell>
          <cell r="J430">
            <v>495</v>
          </cell>
        </row>
        <row r="431">
          <cell r="A431" t="str">
            <v>Always_OnEGSocial</v>
          </cell>
          <cell r="B431">
            <v>45110</v>
          </cell>
          <cell r="C431">
            <v>45110</v>
          </cell>
          <cell r="D431" t="str">
            <v>Always_On</v>
          </cell>
          <cell r="E431" t="str">
            <v>EG</v>
          </cell>
          <cell r="F431" t="str">
            <v>Social</v>
          </cell>
          <cell r="G431">
            <v>4607</v>
          </cell>
          <cell r="H431">
            <v>399649</v>
          </cell>
          <cell r="I431">
            <v>146485</v>
          </cell>
          <cell r="J431">
            <v>590</v>
          </cell>
        </row>
        <row r="432">
          <cell r="A432" t="str">
            <v>Always_OnEGDisplay</v>
          </cell>
          <cell r="B432">
            <v>45110</v>
          </cell>
          <cell r="C432">
            <v>45110</v>
          </cell>
          <cell r="D432" t="str">
            <v>Always_On</v>
          </cell>
          <cell r="E432" t="str">
            <v>EG</v>
          </cell>
          <cell r="F432" t="str">
            <v>Display</v>
          </cell>
          <cell r="G432">
            <v>2847</v>
          </cell>
          <cell r="H432">
            <v>617724</v>
          </cell>
          <cell r="I432">
            <v>109953</v>
          </cell>
          <cell r="J432">
            <v>95</v>
          </cell>
        </row>
        <row r="433">
          <cell r="A433" t="str">
            <v>Always_OnEGSearch</v>
          </cell>
          <cell r="B433">
            <v>45110</v>
          </cell>
          <cell r="C433">
            <v>45110</v>
          </cell>
          <cell r="D433" t="str">
            <v>Always_On</v>
          </cell>
          <cell r="E433" t="str">
            <v>EG</v>
          </cell>
          <cell r="F433" t="str">
            <v>Search</v>
          </cell>
          <cell r="G433">
            <v>4040</v>
          </cell>
          <cell r="H433">
            <v>49338</v>
          </cell>
          <cell r="I433">
            <v>43117</v>
          </cell>
          <cell r="J433">
            <v>1168</v>
          </cell>
        </row>
        <row r="434">
          <cell r="A434" t="str">
            <v>Always_OnUKYouTube</v>
          </cell>
          <cell r="B434">
            <v>45117</v>
          </cell>
          <cell r="C434">
            <v>45117</v>
          </cell>
          <cell r="D434" t="str">
            <v>Always_On</v>
          </cell>
          <cell r="E434" t="str">
            <v>UK</v>
          </cell>
          <cell r="F434" t="str">
            <v>YouTube</v>
          </cell>
          <cell r="G434">
            <v>6401</v>
          </cell>
          <cell r="H434">
            <v>542404</v>
          </cell>
          <cell r="I434">
            <v>232972</v>
          </cell>
          <cell r="J434">
            <v>205</v>
          </cell>
        </row>
        <row r="435">
          <cell r="A435" t="str">
            <v>Always_OnUKSocial</v>
          </cell>
          <cell r="B435">
            <v>45117</v>
          </cell>
          <cell r="C435">
            <v>45117</v>
          </cell>
          <cell r="D435" t="str">
            <v>Always_On</v>
          </cell>
          <cell r="E435" t="str">
            <v>UK</v>
          </cell>
          <cell r="F435" t="str">
            <v>Social</v>
          </cell>
          <cell r="G435">
            <v>7316</v>
          </cell>
          <cell r="H435">
            <v>483318</v>
          </cell>
          <cell r="I435">
            <v>194866</v>
          </cell>
          <cell r="J435">
            <v>246</v>
          </cell>
        </row>
        <row r="436">
          <cell r="A436" t="str">
            <v>Always_OnUKDisplay</v>
          </cell>
          <cell r="B436">
            <v>45117</v>
          </cell>
          <cell r="C436">
            <v>45117</v>
          </cell>
          <cell r="D436" t="str">
            <v>Always_On</v>
          </cell>
          <cell r="E436" t="str">
            <v>UK</v>
          </cell>
          <cell r="F436" t="str">
            <v>Display</v>
          </cell>
          <cell r="G436">
            <v>3972</v>
          </cell>
          <cell r="H436">
            <v>865426</v>
          </cell>
          <cell r="I436">
            <v>146079</v>
          </cell>
          <cell r="J436">
            <v>31</v>
          </cell>
        </row>
        <row r="437">
          <cell r="A437" t="str">
            <v>Always_OnUKSearch</v>
          </cell>
          <cell r="B437">
            <v>45117</v>
          </cell>
          <cell r="C437">
            <v>45117</v>
          </cell>
          <cell r="D437" t="str">
            <v>Always_On</v>
          </cell>
          <cell r="E437" t="str">
            <v>UK</v>
          </cell>
          <cell r="F437" t="str">
            <v>Search</v>
          </cell>
          <cell r="G437">
            <v>6900</v>
          </cell>
          <cell r="H437">
            <v>101088</v>
          </cell>
          <cell r="I437">
            <v>87134</v>
          </cell>
          <cell r="J437">
            <v>618</v>
          </cell>
        </row>
        <row r="438">
          <cell r="A438" t="str">
            <v>Always_OnDEYouTube</v>
          </cell>
          <cell r="B438">
            <v>45117</v>
          </cell>
          <cell r="C438">
            <v>45117</v>
          </cell>
          <cell r="D438" t="str">
            <v>Always_On</v>
          </cell>
          <cell r="E438" t="str">
            <v>DE</v>
          </cell>
          <cell r="F438" t="str">
            <v>YouTube</v>
          </cell>
          <cell r="G438">
            <v>3847</v>
          </cell>
          <cell r="H438">
            <v>288592</v>
          </cell>
          <cell r="I438">
            <v>102049</v>
          </cell>
          <cell r="J438">
            <v>136</v>
          </cell>
        </row>
        <row r="439">
          <cell r="A439" t="str">
            <v>Always_OnDESocial</v>
          </cell>
          <cell r="B439">
            <v>45117</v>
          </cell>
          <cell r="C439">
            <v>45117</v>
          </cell>
          <cell r="D439" t="str">
            <v>Always_On</v>
          </cell>
          <cell r="E439" t="str">
            <v>DE</v>
          </cell>
          <cell r="F439" t="str">
            <v>Social</v>
          </cell>
          <cell r="G439">
            <v>3636</v>
          </cell>
          <cell r="H439">
            <v>324939</v>
          </cell>
          <cell r="I439">
            <v>147412</v>
          </cell>
          <cell r="J439">
            <v>116</v>
          </cell>
        </row>
        <row r="440">
          <cell r="A440" t="str">
            <v>Always_OnDEDisplay</v>
          </cell>
          <cell r="B440">
            <v>45117</v>
          </cell>
          <cell r="C440">
            <v>45117</v>
          </cell>
          <cell r="D440" t="str">
            <v>Always_On</v>
          </cell>
          <cell r="E440" t="str">
            <v>DE</v>
          </cell>
          <cell r="F440" t="str">
            <v>Display</v>
          </cell>
          <cell r="G440">
            <v>2020</v>
          </cell>
          <cell r="H440">
            <v>551419</v>
          </cell>
          <cell r="I440">
            <v>111202</v>
          </cell>
          <cell r="J440">
            <v>17</v>
          </cell>
        </row>
        <row r="441">
          <cell r="A441" t="str">
            <v>Always_OnDESearch</v>
          </cell>
          <cell r="B441">
            <v>45117</v>
          </cell>
          <cell r="C441">
            <v>45117</v>
          </cell>
          <cell r="D441" t="str">
            <v>Always_On</v>
          </cell>
          <cell r="E441" t="str">
            <v>DE</v>
          </cell>
          <cell r="F441" t="str">
            <v>Search</v>
          </cell>
          <cell r="G441">
            <v>5141</v>
          </cell>
          <cell r="H441">
            <v>62775</v>
          </cell>
          <cell r="I441">
            <v>56632</v>
          </cell>
          <cell r="J441">
            <v>473</v>
          </cell>
        </row>
        <row r="442">
          <cell r="A442" t="str">
            <v>Always_OnSAYouTube</v>
          </cell>
          <cell r="B442">
            <v>45117</v>
          </cell>
          <cell r="C442">
            <v>45117</v>
          </cell>
          <cell r="D442" t="str">
            <v>Always_On</v>
          </cell>
          <cell r="E442" t="str">
            <v>SA</v>
          </cell>
          <cell r="F442" t="str">
            <v>YouTube</v>
          </cell>
          <cell r="G442">
            <v>4407</v>
          </cell>
          <cell r="H442">
            <v>255657</v>
          </cell>
          <cell r="I442">
            <v>126419</v>
          </cell>
          <cell r="J442">
            <v>541</v>
          </cell>
        </row>
        <row r="443">
          <cell r="A443" t="str">
            <v>Always_OnSASocial</v>
          </cell>
          <cell r="B443">
            <v>45117</v>
          </cell>
          <cell r="C443">
            <v>45117</v>
          </cell>
          <cell r="D443" t="str">
            <v>Always_On</v>
          </cell>
          <cell r="E443" t="str">
            <v>SA</v>
          </cell>
          <cell r="F443" t="str">
            <v>Social</v>
          </cell>
          <cell r="G443">
            <v>3942</v>
          </cell>
          <cell r="H443">
            <v>276918</v>
          </cell>
          <cell r="I443">
            <v>100654</v>
          </cell>
          <cell r="J443">
            <v>522</v>
          </cell>
        </row>
        <row r="444">
          <cell r="A444" t="str">
            <v>Always_OnSADisplay</v>
          </cell>
          <cell r="B444">
            <v>45117</v>
          </cell>
          <cell r="C444">
            <v>45117</v>
          </cell>
          <cell r="D444" t="str">
            <v>Always_On</v>
          </cell>
          <cell r="E444" t="str">
            <v>SA</v>
          </cell>
          <cell r="F444" t="str">
            <v>Display</v>
          </cell>
          <cell r="G444">
            <v>1904</v>
          </cell>
          <cell r="H444">
            <v>403904</v>
          </cell>
          <cell r="I444">
            <v>94161</v>
          </cell>
          <cell r="J444">
            <v>55</v>
          </cell>
        </row>
        <row r="445">
          <cell r="A445" t="str">
            <v>Always_OnSASearch</v>
          </cell>
          <cell r="B445">
            <v>45117</v>
          </cell>
          <cell r="C445">
            <v>45117</v>
          </cell>
          <cell r="D445" t="str">
            <v>Always_On</v>
          </cell>
          <cell r="E445" t="str">
            <v>SA</v>
          </cell>
          <cell r="F445" t="str">
            <v>Search</v>
          </cell>
          <cell r="G445">
            <v>3194</v>
          </cell>
          <cell r="H445">
            <v>33333</v>
          </cell>
          <cell r="I445">
            <v>30264</v>
          </cell>
          <cell r="J445">
            <v>952</v>
          </cell>
        </row>
        <row r="446">
          <cell r="A446" t="str">
            <v>Always_OnEGYouTube</v>
          </cell>
          <cell r="B446">
            <v>45117</v>
          </cell>
          <cell r="C446">
            <v>45117</v>
          </cell>
          <cell r="D446" t="str">
            <v>Always_On</v>
          </cell>
          <cell r="E446" t="str">
            <v>EG</v>
          </cell>
          <cell r="F446" t="str">
            <v>YouTube</v>
          </cell>
          <cell r="G446">
            <v>2387</v>
          </cell>
          <cell r="H446">
            <v>186392</v>
          </cell>
          <cell r="I446">
            <v>65231</v>
          </cell>
          <cell r="J446">
            <v>305</v>
          </cell>
        </row>
        <row r="447">
          <cell r="A447" t="str">
            <v>Always_OnEGSocial</v>
          </cell>
          <cell r="B447">
            <v>45117</v>
          </cell>
          <cell r="C447">
            <v>45117</v>
          </cell>
          <cell r="D447" t="str">
            <v>Always_On</v>
          </cell>
          <cell r="E447" t="str">
            <v>EG</v>
          </cell>
          <cell r="F447" t="str">
            <v>Social</v>
          </cell>
          <cell r="G447">
            <v>4471</v>
          </cell>
          <cell r="H447">
            <v>360108</v>
          </cell>
          <cell r="I447">
            <v>129879</v>
          </cell>
          <cell r="J447">
            <v>619</v>
          </cell>
        </row>
        <row r="448">
          <cell r="A448" t="str">
            <v>Always_OnEGDisplay</v>
          </cell>
          <cell r="B448">
            <v>45117</v>
          </cell>
          <cell r="C448">
            <v>45117</v>
          </cell>
          <cell r="D448" t="str">
            <v>Always_On</v>
          </cell>
          <cell r="E448" t="str">
            <v>EG</v>
          </cell>
          <cell r="F448" t="str">
            <v>Display</v>
          </cell>
          <cell r="G448">
            <v>1990</v>
          </cell>
          <cell r="H448">
            <v>520333</v>
          </cell>
          <cell r="I448">
            <v>112976</v>
          </cell>
          <cell r="J448">
            <v>65</v>
          </cell>
        </row>
        <row r="449">
          <cell r="A449" t="str">
            <v>Always_OnEGSearch</v>
          </cell>
          <cell r="B449">
            <v>45117</v>
          </cell>
          <cell r="C449">
            <v>45117</v>
          </cell>
          <cell r="D449" t="str">
            <v>Always_On</v>
          </cell>
          <cell r="E449" t="str">
            <v>EG</v>
          </cell>
          <cell r="F449" t="str">
            <v>Search</v>
          </cell>
          <cell r="G449">
            <v>3546</v>
          </cell>
          <cell r="H449">
            <v>36357</v>
          </cell>
          <cell r="I449">
            <v>30721</v>
          </cell>
          <cell r="J449">
            <v>1161</v>
          </cell>
        </row>
        <row r="450">
          <cell r="A450" t="str">
            <v>Always_OnUKYouTube</v>
          </cell>
          <cell r="B450">
            <v>45124</v>
          </cell>
          <cell r="C450">
            <v>45124</v>
          </cell>
          <cell r="D450" t="str">
            <v>Always_On</v>
          </cell>
          <cell r="E450" t="str">
            <v>UK</v>
          </cell>
          <cell r="F450" t="str">
            <v>YouTube</v>
          </cell>
          <cell r="G450">
            <v>4659</v>
          </cell>
          <cell r="H450">
            <v>395331</v>
          </cell>
          <cell r="I450">
            <v>196889</v>
          </cell>
          <cell r="J450">
            <v>159</v>
          </cell>
        </row>
        <row r="451">
          <cell r="A451" t="str">
            <v>Always_OnUKSocial</v>
          </cell>
          <cell r="B451">
            <v>45124</v>
          </cell>
          <cell r="C451">
            <v>45124</v>
          </cell>
          <cell r="D451" t="str">
            <v>Always_On</v>
          </cell>
          <cell r="E451" t="str">
            <v>UK</v>
          </cell>
          <cell r="F451" t="str">
            <v>Social</v>
          </cell>
          <cell r="G451">
            <v>2899</v>
          </cell>
          <cell r="H451">
            <v>171805</v>
          </cell>
          <cell r="I451">
            <v>76535</v>
          </cell>
          <cell r="J451">
            <v>90</v>
          </cell>
        </row>
        <row r="452">
          <cell r="A452" t="str">
            <v>Always_OnUKDisplay</v>
          </cell>
          <cell r="B452">
            <v>45124</v>
          </cell>
          <cell r="C452">
            <v>45124</v>
          </cell>
          <cell r="D452" t="str">
            <v>Always_On</v>
          </cell>
          <cell r="E452" t="str">
            <v>UK</v>
          </cell>
          <cell r="F452" t="str">
            <v>Display</v>
          </cell>
          <cell r="G452">
            <v>2849</v>
          </cell>
          <cell r="H452">
            <v>839498</v>
          </cell>
          <cell r="I452">
            <v>140587</v>
          </cell>
          <cell r="J452">
            <v>23</v>
          </cell>
        </row>
        <row r="453">
          <cell r="A453" t="str">
            <v>Always_OnUKSearch</v>
          </cell>
          <cell r="B453">
            <v>45124</v>
          </cell>
          <cell r="C453">
            <v>45124</v>
          </cell>
          <cell r="D453" t="str">
            <v>Always_On</v>
          </cell>
          <cell r="E453" t="str">
            <v>UK</v>
          </cell>
          <cell r="F453" t="str">
            <v>Search</v>
          </cell>
          <cell r="G453">
            <v>6035</v>
          </cell>
          <cell r="H453">
            <v>66649</v>
          </cell>
          <cell r="I453">
            <v>60357</v>
          </cell>
          <cell r="J453">
            <v>501</v>
          </cell>
        </row>
        <row r="454">
          <cell r="A454" t="str">
            <v>Always_OnDEYouTube</v>
          </cell>
          <cell r="B454">
            <v>45124</v>
          </cell>
          <cell r="C454">
            <v>45124</v>
          </cell>
          <cell r="D454" t="str">
            <v>Always_On</v>
          </cell>
          <cell r="E454" t="str">
            <v>DE</v>
          </cell>
          <cell r="F454" t="str">
            <v>YouTube</v>
          </cell>
          <cell r="G454">
            <v>5143</v>
          </cell>
          <cell r="H454">
            <v>439318</v>
          </cell>
          <cell r="I454">
            <v>210792</v>
          </cell>
          <cell r="J454">
            <v>166</v>
          </cell>
        </row>
        <row r="455">
          <cell r="A455" t="str">
            <v>Always_OnDESocial</v>
          </cell>
          <cell r="B455">
            <v>45124</v>
          </cell>
          <cell r="C455">
            <v>45124</v>
          </cell>
          <cell r="D455" t="str">
            <v>Always_On</v>
          </cell>
          <cell r="E455" t="str">
            <v>DE</v>
          </cell>
          <cell r="F455" t="str">
            <v>Social</v>
          </cell>
          <cell r="G455">
            <v>6201</v>
          </cell>
          <cell r="H455">
            <v>522213</v>
          </cell>
          <cell r="I455">
            <v>239856</v>
          </cell>
          <cell r="J455">
            <v>217</v>
          </cell>
        </row>
        <row r="456">
          <cell r="A456" t="str">
            <v>Always_OnDEDisplay</v>
          </cell>
          <cell r="B456">
            <v>45124</v>
          </cell>
          <cell r="C456">
            <v>45124</v>
          </cell>
          <cell r="D456" t="str">
            <v>Always_On</v>
          </cell>
          <cell r="E456" t="str">
            <v>DE</v>
          </cell>
          <cell r="F456" t="str">
            <v>Display</v>
          </cell>
          <cell r="G456">
            <v>2998</v>
          </cell>
          <cell r="H456">
            <v>829002</v>
          </cell>
          <cell r="I456">
            <v>160665</v>
          </cell>
          <cell r="J456">
            <v>25</v>
          </cell>
        </row>
        <row r="457">
          <cell r="A457" t="str">
            <v>Always_OnDESearch</v>
          </cell>
          <cell r="B457">
            <v>45124</v>
          </cell>
          <cell r="C457">
            <v>45124</v>
          </cell>
          <cell r="D457" t="str">
            <v>Always_On</v>
          </cell>
          <cell r="E457" t="str">
            <v>DE</v>
          </cell>
          <cell r="F457" t="str">
            <v>Search</v>
          </cell>
          <cell r="G457">
            <v>5620</v>
          </cell>
          <cell r="H457">
            <v>79465</v>
          </cell>
          <cell r="I457">
            <v>70971</v>
          </cell>
          <cell r="J457">
            <v>455</v>
          </cell>
        </row>
        <row r="458">
          <cell r="A458" t="str">
            <v>Always_OnSAYouTube</v>
          </cell>
          <cell r="B458">
            <v>45124</v>
          </cell>
          <cell r="C458">
            <v>45124</v>
          </cell>
          <cell r="D458" t="str">
            <v>Always_On</v>
          </cell>
          <cell r="E458" t="str">
            <v>SA</v>
          </cell>
          <cell r="F458" t="str">
            <v>YouTube</v>
          </cell>
          <cell r="G458">
            <v>2552</v>
          </cell>
          <cell r="H458">
            <v>130099</v>
          </cell>
          <cell r="I458">
            <v>46575</v>
          </cell>
          <cell r="J458">
            <v>345</v>
          </cell>
        </row>
        <row r="459">
          <cell r="A459" t="str">
            <v>Always_OnSASocial</v>
          </cell>
          <cell r="B459">
            <v>45124</v>
          </cell>
          <cell r="C459">
            <v>45124</v>
          </cell>
          <cell r="D459" t="str">
            <v>Always_On</v>
          </cell>
          <cell r="E459" t="str">
            <v>SA</v>
          </cell>
          <cell r="F459" t="str">
            <v>Social</v>
          </cell>
          <cell r="G459">
            <v>4431</v>
          </cell>
          <cell r="H459">
            <v>266966</v>
          </cell>
          <cell r="I459">
            <v>100523</v>
          </cell>
          <cell r="J459">
            <v>602</v>
          </cell>
        </row>
        <row r="460">
          <cell r="A460" t="str">
            <v>Always_OnSADisplay</v>
          </cell>
          <cell r="B460">
            <v>45124</v>
          </cell>
          <cell r="C460">
            <v>45124</v>
          </cell>
          <cell r="D460" t="str">
            <v>Always_On</v>
          </cell>
          <cell r="E460" t="str">
            <v>SA</v>
          </cell>
          <cell r="F460" t="str">
            <v>Display</v>
          </cell>
          <cell r="G460">
            <v>2437</v>
          </cell>
          <cell r="H460">
            <v>589716</v>
          </cell>
          <cell r="I460">
            <v>100352</v>
          </cell>
          <cell r="J460">
            <v>74</v>
          </cell>
        </row>
        <row r="461">
          <cell r="A461" t="str">
            <v>Always_OnSASearch</v>
          </cell>
          <cell r="B461">
            <v>45124</v>
          </cell>
          <cell r="C461">
            <v>45124</v>
          </cell>
          <cell r="D461" t="str">
            <v>Always_On</v>
          </cell>
          <cell r="E461" t="str">
            <v>SA</v>
          </cell>
          <cell r="F461" t="str">
            <v>Search</v>
          </cell>
          <cell r="G461">
            <v>2170</v>
          </cell>
          <cell r="H461">
            <v>28754</v>
          </cell>
          <cell r="I461">
            <v>25942</v>
          </cell>
          <cell r="J461">
            <v>627</v>
          </cell>
        </row>
        <row r="462">
          <cell r="A462" t="str">
            <v>Always_OnEGYouTube</v>
          </cell>
          <cell r="B462">
            <v>45124</v>
          </cell>
          <cell r="C462">
            <v>45124</v>
          </cell>
          <cell r="D462" t="str">
            <v>Always_On</v>
          </cell>
          <cell r="E462" t="str">
            <v>EG</v>
          </cell>
          <cell r="F462" t="str">
            <v>YouTube</v>
          </cell>
          <cell r="G462">
            <v>4130</v>
          </cell>
          <cell r="H462">
            <v>293503</v>
          </cell>
          <cell r="I462">
            <v>141765</v>
          </cell>
          <cell r="J462">
            <v>560</v>
          </cell>
        </row>
        <row r="463">
          <cell r="A463" t="str">
            <v>Always_OnEGSocial</v>
          </cell>
          <cell r="B463">
            <v>45124</v>
          </cell>
          <cell r="C463">
            <v>45124</v>
          </cell>
          <cell r="D463" t="str">
            <v>Always_On</v>
          </cell>
          <cell r="E463" t="str">
            <v>EG</v>
          </cell>
          <cell r="F463" t="str">
            <v>Social</v>
          </cell>
          <cell r="G463">
            <v>2543</v>
          </cell>
          <cell r="H463">
            <v>137491</v>
          </cell>
          <cell r="I463">
            <v>58052</v>
          </cell>
          <cell r="J463">
            <v>304</v>
          </cell>
        </row>
        <row r="464">
          <cell r="A464" t="str">
            <v>Always_OnEGDisplay</v>
          </cell>
          <cell r="B464">
            <v>45124</v>
          </cell>
          <cell r="C464">
            <v>45124</v>
          </cell>
          <cell r="D464" t="str">
            <v>Always_On</v>
          </cell>
          <cell r="E464" t="str">
            <v>EG</v>
          </cell>
          <cell r="F464" t="str">
            <v>Display</v>
          </cell>
          <cell r="G464">
            <v>1568</v>
          </cell>
          <cell r="H464">
            <v>339523</v>
          </cell>
          <cell r="I464">
            <v>71890</v>
          </cell>
          <cell r="J464">
            <v>53</v>
          </cell>
        </row>
        <row r="465">
          <cell r="A465" t="str">
            <v>Always_OnEGSearch</v>
          </cell>
          <cell r="B465">
            <v>45124</v>
          </cell>
          <cell r="C465">
            <v>45124</v>
          </cell>
          <cell r="D465" t="str">
            <v>Always_On</v>
          </cell>
          <cell r="E465" t="str">
            <v>EG</v>
          </cell>
          <cell r="F465" t="str">
            <v>Search</v>
          </cell>
          <cell r="G465">
            <v>4646</v>
          </cell>
          <cell r="H465">
            <v>60728</v>
          </cell>
          <cell r="I465">
            <v>52012</v>
          </cell>
          <cell r="J465">
            <v>1411</v>
          </cell>
        </row>
        <row r="466">
          <cell r="A466" t="str">
            <v>Always_OnUKYouTube</v>
          </cell>
          <cell r="B466">
            <v>45131</v>
          </cell>
          <cell r="C466">
            <v>45131</v>
          </cell>
          <cell r="D466" t="str">
            <v>Always_On</v>
          </cell>
          <cell r="E466" t="str">
            <v>UK</v>
          </cell>
          <cell r="F466" t="str">
            <v>YouTube</v>
          </cell>
          <cell r="G466">
            <v>5731</v>
          </cell>
          <cell r="H466">
            <v>329875</v>
          </cell>
          <cell r="I466">
            <v>110239</v>
          </cell>
          <cell r="J466">
            <v>198</v>
          </cell>
        </row>
        <row r="467">
          <cell r="A467" t="str">
            <v>Always_OnUKSocial</v>
          </cell>
          <cell r="B467">
            <v>45131</v>
          </cell>
          <cell r="C467">
            <v>45131</v>
          </cell>
          <cell r="D467" t="str">
            <v>Always_On</v>
          </cell>
          <cell r="E467" t="str">
            <v>UK</v>
          </cell>
          <cell r="F467" t="str">
            <v>Social</v>
          </cell>
          <cell r="G467">
            <v>5371</v>
          </cell>
          <cell r="H467">
            <v>309448</v>
          </cell>
          <cell r="I467">
            <v>123410</v>
          </cell>
          <cell r="J467">
            <v>192</v>
          </cell>
        </row>
        <row r="468">
          <cell r="A468" t="str">
            <v>Always_OnUKDisplay</v>
          </cell>
          <cell r="B468">
            <v>45131</v>
          </cell>
          <cell r="C468">
            <v>45131</v>
          </cell>
          <cell r="D468" t="str">
            <v>Always_On</v>
          </cell>
          <cell r="E468" t="str">
            <v>UK</v>
          </cell>
          <cell r="F468" t="str">
            <v>Display</v>
          </cell>
          <cell r="G468">
            <v>3334</v>
          </cell>
          <cell r="H468">
            <v>904460</v>
          </cell>
          <cell r="I468">
            <v>196605</v>
          </cell>
          <cell r="J468">
            <v>25</v>
          </cell>
        </row>
        <row r="469">
          <cell r="A469" t="str">
            <v>Always_OnUKSearch</v>
          </cell>
          <cell r="B469">
            <v>45131</v>
          </cell>
          <cell r="C469">
            <v>45131</v>
          </cell>
          <cell r="D469" t="str">
            <v>Always_On</v>
          </cell>
          <cell r="E469" t="str">
            <v>UK</v>
          </cell>
          <cell r="F469" t="str">
            <v>Search</v>
          </cell>
          <cell r="G469">
            <v>3611</v>
          </cell>
          <cell r="H469">
            <v>38917</v>
          </cell>
          <cell r="I469">
            <v>35367</v>
          </cell>
          <cell r="J469">
            <v>288</v>
          </cell>
        </row>
        <row r="470">
          <cell r="A470" t="str">
            <v>Always_OnDEYouTube</v>
          </cell>
          <cell r="B470">
            <v>45131</v>
          </cell>
          <cell r="C470">
            <v>45131</v>
          </cell>
          <cell r="D470" t="str">
            <v>Always_On</v>
          </cell>
          <cell r="E470" t="str">
            <v>DE</v>
          </cell>
          <cell r="F470" t="str">
            <v>YouTube</v>
          </cell>
          <cell r="G470">
            <v>5527</v>
          </cell>
          <cell r="H470">
            <v>313720</v>
          </cell>
          <cell r="I470">
            <v>127905</v>
          </cell>
          <cell r="J470">
            <v>175</v>
          </cell>
        </row>
        <row r="471">
          <cell r="A471" t="str">
            <v>Always_OnDESocial</v>
          </cell>
          <cell r="B471">
            <v>45131</v>
          </cell>
          <cell r="C471">
            <v>45131</v>
          </cell>
          <cell r="D471" t="str">
            <v>Always_On</v>
          </cell>
          <cell r="E471" t="str">
            <v>DE</v>
          </cell>
          <cell r="F471" t="str">
            <v>Social</v>
          </cell>
          <cell r="G471">
            <v>5170</v>
          </cell>
          <cell r="H471">
            <v>263109</v>
          </cell>
          <cell r="I471">
            <v>118872</v>
          </cell>
          <cell r="J471">
            <v>190</v>
          </cell>
        </row>
        <row r="472">
          <cell r="A472" t="str">
            <v>Always_OnDEDisplay</v>
          </cell>
          <cell r="B472">
            <v>45131</v>
          </cell>
          <cell r="C472">
            <v>45131</v>
          </cell>
          <cell r="D472" t="str">
            <v>Always_On</v>
          </cell>
          <cell r="E472" t="str">
            <v>DE</v>
          </cell>
          <cell r="F472" t="str">
            <v>Display</v>
          </cell>
          <cell r="G472">
            <v>3755</v>
          </cell>
          <cell r="H472">
            <v>1068232</v>
          </cell>
          <cell r="I472">
            <v>209466</v>
          </cell>
          <cell r="J472">
            <v>30</v>
          </cell>
        </row>
        <row r="473">
          <cell r="A473" t="str">
            <v>Always_OnDESearch</v>
          </cell>
          <cell r="B473">
            <v>45131</v>
          </cell>
          <cell r="C473">
            <v>45131</v>
          </cell>
          <cell r="D473" t="str">
            <v>Always_On</v>
          </cell>
          <cell r="E473" t="str">
            <v>DE</v>
          </cell>
          <cell r="F473" t="str">
            <v>Search</v>
          </cell>
          <cell r="G473">
            <v>4802</v>
          </cell>
          <cell r="H473">
            <v>59803</v>
          </cell>
          <cell r="I473">
            <v>50500</v>
          </cell>
          <cell r="J473">
            <v>392</v>
          </cell>
        </row>
        <row r="474">
          <cell r="A474" t="str">
            <v>Always_OnSAYouTube</v>
          </cell>
          <cell r="B474">
            <v>45131</v>
          </cell>
          <cell r="C474">
            <v>45131</v>
          </cell>
          <cell r="D474" t="str">
            <v>Always_On</v>
          </cell>
          <cell r="E474" t="str">
            <v>SA</v>
          </cell>
          <cell r="F474" t="str">
            <v>YouTube</v>
          </cell>
          <cell r="G474">
            <v>4088</v>
          </cell>
          <cell r="H474">
            <v>252728</v>
          </cell>
          <cell r="I474">
            <v>85764</v>
          </cell>
          <cell r="J474">
            <v>529</v>
          </cell>
        </row>
        <row r="475">
          <cell r="A475" t="str">
            <v>Always_OnSASocial</v>
          </cell>
          <cell r="B475">
            <v>45131</v>
          </cell>
          <cell r="C475">
            <v>45131</v>
          </cell>
          <cell r="D475" t="str">
            <v>Always_On</v>
          </cell>
          <cell r="E475" t="str">
            <v>SA</v>
          </cell>
          <cell r="F475" t="str">
            <v>Social</v>
          </cell>
          <cell r="G475">
            <v>3283</v>
          </cell>
          <cell r="H475">
            <v>208859</v>
          </cell>
          <cell r="I475">
            <v>85567</v>
          </cell>
          <cell r="J475">
            <v>435</v>
          </cell>
        </row>
        <row r="476">
          <cell r="A476" t="str">
            <v>Always_OnSADisplay</v>
          </cell>
          <cell r="B476">
            <v>45131</v>
          </cell>
          <cell r="C476">
            <v>45131</v>
          </cell>
          <cell r="D476" t="str">
            <v>Always_On</v>
          </cell>
          <cell r="E476" t="str">
            <v>SA</v>
          </cell>
          <cell r="F476" t="str">
            <v>Display</v>
          </cell>
          <cell r="G476">
            <v>1451</v>
          </cell>
          <cell r="H476">
            <v>425115</v>
          </cell>
          <cell r="I476">
            <v>73454</v>
          </cell>
          <cell r="J476">
            <v>41</v>
          </cell>
        </row>
        <row r="477">
          <cell r="A477" t="str">
            <v>Always_OnSASearch</v>
          </cell>
          <cell r="B477">
            <v>45131</v>
          </cell>
          <cell r="C477">
            <v>45131</v>
          </cell>
          <cell r="D477" t="str">
            <v>Always_On</v>
          </cell>
          <cell r="E477" t="str">
            <v>SA</v>
          </cell>
          <cell r="F477" t="str">
            <v>Search</v>
          </cell>
          <cell r="G477">
            <v>4250</v>
          </cell>
          <cell r="H477">
            <v>59735</v>
          </cell>
          <cell r="I477">
            <v>50038</v>
          </cell>
          <cell r="J477">
            <v>1214</v>
          </cell>
        </row>
        <row r="478">
          <cell r="A478" t="str">
            <v>Always_OnEGYouTube</v>
          </cell>
          <cell r="B478">
            <v>45131</v>
          </cell>
          <cell r="C478">
            <v>45131</v>
          </cell>
          <cell r="D478" t="str">
            <v>Always_On</v>
          </cell>
          <cell r="E478" t="str">
            <v>EG</v>
          </cell>
          <cell r="F478" t="str">
            <v>YouTube</v>
          </cell>
          <cell r="G478">
            <v>3793</v>
          </cell>
          <cell r="H478">
            <v>324421</v>
          </cell>
          <cell r="I478">
            <v>118703</v>
          </cell>
          <cell r="J478">
            <v>483</v>
          </cell>
        </row>
        <row r="479">
          <cell r="A479" t="str">
            <v>Always_OnEGSocial</v>
          </cell>
          <cell r="B479">
            <v>45131</v>
          </cell>
          <cell r="C479">
            <v>45131</v>
          </cell>
          <cell r="D479" t="str">
            <v>Always_On</v>
          </cell>
          <cell r="E479" t="str">
            <v>EG</v>
          </cell>
          <cell r="F479" t="str">
            <v>Social</v>
          </cell>
          <cell r="G479">
            <v>3867</v>
          </cell>
          <cell r="H479">
            <v>280772</v>
          </cell>
          <cell r="I479">
            <v>106742</v>
          </cell>
          <cell r="J479">
            <v>520</v>
          </cell>
        </row>
        <row r="480">
          <cell r="A480" t="str">
            <v>Always_OnEGDisplay</v>
          </cell>
          <cell r="B480">
            <v>45131</v>
          </cell>
          <cell r="C480">
            <v>45131</v>
          </cell>
          <cell r="D480" t="str">
            <v>Always_On</v>
          </cell>
          <cell r="E480" t="str">
            <v>EG</v>
          </cell>
          <cell r="F480" t="str">
            <v>Display</v>
          </cell>
          <cell r="G480">
            <v>2000</v>
          </cell>
          <cell r="H480">
            <v>596557</v>
          </cell>
          <cell r="I480">
            <v>114428</v>
          </cell>
          <cell r="J480">
            <v>67</v>
          </cell>
        </row>
        <row r="481">
          <cell r="A481" t="str">
            <v>Always_OnEGSearch</v>
          </cell>
          <cell r="B481">
            <v>45131</v>
          </cell>
          <cell r="C481">
            <v>45131</v>
          </cell>
          <cell r="D481" t="str">
            <v>Always_On</v>
          </cell>
          <cell r="E481" t="str">
            <v>EG</v>
          </cell>
          <cell r="F481" t="str">
            <v>Search</v>
          </cell>
          <cell r="G481">
            <v>3798</v>
          </cell>
          <cell r="H481">
            <v>45941</v>
          </cell>
          <cell r="I481">
            <v>39024</v>
          </cell>
          <cell r="J481">
            <v>1144</v>
          </cell>
        </row>
        <row r="482">
          <cell r="A482" t="str">
            <v>Always_OnUKYouTube</v>
          </cell>
          <cell r="B482">
            <v>45138</v>
          </cell>
          <cell r="C482">
            <v>45138</v>
          </cell>
          <cell r="D482" t="str">
            <v>Always_On</v>
          </cell>
          <cell r="E482" t="str">
            <v>UK</v>
          </cell>
          <cell r="F482" t="str">
            <v>YouTube</v>
          </cell>
          <cell r="G482">
            <v>6408</v>
          </cell>
          <cell r="H482">
            <v>537415</v>
          </cell>
          <cell r="I482">
            <v>187128</v>
          </cell>
          <cell r="J482">
            <v>217</v>
          </cell>
        </row>
        <row r="483">
          <cell r="A483" t="str">
            <v>Always_OnUKSocial</v>
          </cell>
          <cell r="B483">
            <v>45138</v>
          </cell>
          <cell r="C483">
            <v>45138</v>
          </cell>
          <cell r="D483" t="str">
            <v>Always_On</v>
          </cell>
          <cell r="E483" t="str">
            <v>UK</v>
          </cell>
          <cell r="F483" t="str">
            <v>Social</v>
          </cell>
          <cell r="G483">
            <v>3308</v>
          </cell>
          <cell r="H483">
            <v>236914</v>
          </cell>
          <cell r="I483">
            <v>102266</v>
          </cell>
          <cell r="J483">
            <v>100</v>
          </cell>
        </row>
        <row r="484">
          <cell r="A484" t="str">
            <v>Always_OnUKDisplay</v>
          </cell>
          <cell r="B484">
            <v>45138</v>
          </cell>
          <cell r="C484">
            <v>45138</v>
          </cell>
          <cell r="D484" t="str">
            <v>Always_On</v>
          </cell>
          <cell r="E484" t="str">
            <v>UK</v>
          </cell>
          <cell r="F484" t="str">
            <v>Display</v>
          </cell>
          <cell r="G484">
            <v>3377</v>
          </cell>
          <cell r="H484">
            <v>904259</v>
          </cell>
          <cell r="I484">
            <v>223308</v>
          </cell>
          <cell r="J484">
            <v>29</v>
          </cell>
        </row>
        <row r="485">
          <cell r="A485" t="str">
            <v>Always_OnUKSearch</v>
          </cell>
          <cell r="B485">
            <v>45138</v>
          </cell>
          <cell r="C485">
            <v>45138</v>
          </cell>
          <cell r="D485" t="str">
            <v>Always_On</v>
          </cell>
          <cell r="E485" t="str">
            <v>UK</v>
          </cell>
          <cell r="F485" t="str">
            <v>Search</v>
          </cell>
          <cell r="G485">
            <v>5216</v>
          </cell>
          <cell r="H485">
            <v>75112</v>
          </cell>
          <cell r="I485">
            <v>66658</v>
          </cell>
          <cell r="J485">
            <v>433</v>
          </cell>
        </row>
        <row r="486">
          <cell r="A486" t="str">
            <v>Always_OnDEYouTube</v>
          </cell>
          <cell r="B486">
            <v>45138</v>
          </cell>
          <cell r="C486">
            <v>45138</v>
          </cell>
          <cell r="D486" t="str">
            <v>Always_On</v>
          </cell>
          <cell r="E486" t="str">
            <v>DE</v>
          </cell>
          <cell r="F486" t="str">
            <v>YouTube</v>
          </cell>
          <cell r="G486">
            <v>7230</v>
          </cell>
          <cell r="H486">
            <v>587055</v>
          </cell>
          <cell r="I486">
            <v>201209</v>
          </cell>
          <cell r="J486">
            <v>256</v>
          </cell>
        </row>
        <row r="487">
          <cell r="A487" t="str">
            <v>Always_OnDESocial</v>
          </cell>
          <cell r="B487">
            <v>45138</v>
          </cell>
          <cell r="C487">
            <v>45138</v>
          </cell>
          <cell r="D487" t="str">
            <v>Always_On</v>
          </cell>
          <cell r="E487" t="str">
            <v>DE</v>
          </cell>
          <cell r="F487" t="str">
            <v>Social</v>
          </cell>
          <cell r="G487">
            <v>6194</v>
          </cell>
          <cell r="H487">
            <v>353630</v>
          </cell>
          <cell r="I487">
            <v>139155</v>
          </cell>
          <cell r="J487">
            <v>190</v>
          </cell>
        </row>
        <row r="488">
          <cell r="A488" t="str">
            <v>Always_OnDEDisplay</v>
          </cell>
          <cell r="B488">
            <v>45138</v>
          </cell>
          <cell r="C488">
            <v>45138</v>
          </cell>
          <cell r="D488" t="str">
            <v>Always_On</v>
          </cell>
          <cell r="E488" t="str">
            <v>DE</v>
          </cell>
          <cell r="F488" t="str">
            <v>Display</v>
          </cell>
          <cell r="G488">
            <v>3084</v>
          </cell>
          <cell r="H488">
            <v>822162</v>
          </cell>
          <cell r="I488">
            <v>137513</v>
          </cell>
          <cell r="J488">
            <v>26</v>
          </cell>
        </row>
        <row r="489">
          <cell r="A489" t="str">
            <v>Always_OnDESearch</v>
          </cell>
          <cell r="B489">
            <v>45138</v>
          </cell>
          <cell r="C489">
            <v>45138</v>
          </cell>
          <cell r="D489" t="str">
            <v>Always_On</v>
          </cell>
          <cell r="E489" t="str">
            <v>DE</v>
          </cell>
          <cell r="F489" t="str">
            <v>Search</v>
          </cell>
          <cell r="G489">
            <v>4361</v>
          </cell>
          <cell r="H489">
            <v>58869</v>
          </cell>
          <cell r="I489">
            <v>52222</v>
          </cell>
          <cell r="J489">
            <v>380</v>
          </cell>
        </row>
        <row r="490">
          <cell r="A490" t="str">
            <v>Always_OnSAYouTube</v>
          </cell>
          <cell r="B490">
            <v>45138</v>
          </cell>
          <cell r="C490">
            <v>45138</v>
          </cell>
          <cell r="D490" t="str">
            <v>Always_On</v>
          </cell>
          <cell r="E490" t="str">
            <v>SA</v>
          </cell>
          <cell r="F490" t="str">
            <v>YouTube</v>
          </cell>
          <cell r="G490">
            <v>2289</v>
          </cell>
          <cell r="H490">
            <v>121626</v>
          </cell>
          <cell r="I490">
            <v>42371</v>
          </cell>
          <cell r="J490">
            <v>262</v>
          </cell>
        </row>
        <row r="491">
          <cell r="A491" t="str">
            <v>Always_OnSASocial</v>
          </cell>
          <cell r="B491">
            <v>45138</v>
          </cell>
          <cell r="C491">
            <v>45138</v>
          </cell>
          <cell r="D491" t="str">
            <v>Always_On</v>
          </cell>
          <cell r="E491" t="str">
            <v>SA</v>
          </cell>
          <cell r="F491" t="str">
            <v>Social</v>
          </cell>
          <cell r="G491">
            <v>2685</v>
          </cell>
          <cell r="H491">
            <v>145966</v>
          </cell>
          <cell r="I491">
            <v>48929</v>
          </cell>
          <cell r="J491">
            <v>365</v>
          </cell>
        </row>
        <row r="492">
          <cell r="A492" t="str">
            <v>Always_OnSADisplay</v>
          </cell>
          <cell r="B492">
            <v>45138</v>
          </cell>
          <cell r="C492">
            <v>45138</v>
          </cell>
          <cell r="D492" t="str">
            <v>Always_On</v>
          </cell>
          <cell r="E492" t="str">
            <v>SA</v>
          </cell>
          <cell r="F492" t="str">
            <v>Display</v>
          </cell>
          <cell r="G492">
            <v>2491</v>
          </cell>
          <cell r="H492">
            <v>634589</v>
          </cell>
          <cell r="I492">
            <v>131512</v>
          </cell>
          <cell r="J492">
            <v>76</v>
          </cell>
        </row>
        <row r="493">
          <cell r="A493" t="str">
            <v>Always_OnSASearch</v>
          </cell>
          <cell r="B493">
            <v>45138</v>
          </cell>
          <cell r="C493">
            <v>45138</v>
          </cell>
          <cell r="D493" t="str">
            <v>Always_On</v>
          </cell>
          <cell r="E493" t="str">
            <v>SA</v>
          </cell>
          <cell r="F493" t="str">
            <v>Search</v>
          </cell>
          <cell r="G493">
            <v>2848</v>
          </cell>
          <cell r="H493">
            <v>31272</v>
          </cell>
          <cell r="I493">
            <v>26473</v>
          </cell>
          <cell r="J493">
            <v>863</v>
          </cell>
        </row>
        <row r="494">
          <cell r="A494" t="str">
            <v>Always_OnEGYouTube</v>
          </cell>
          <cell r="B494">
            <v>45138</v>
          </cell>
          <cell r="C494">
            <v>45138</v>
          </cell>
          <cell r="D494" t="str">
            <v>Always_On</v>
          </cell>
          <cell r="E494" t="str">
            <v>EG</v>
          </cell>
          <cell r="F494" t="str">
            <v>YouTube</v>
          </cell>
          <cell r="G494">
            <v>3650</v>
          </cell>
          <cell r="H494">
            <v>307278</v>
          </cell>
          <cell r="I494">
            <v>131022</v>
          </cell>
          <cell r="J494">
            <v>504</v>
          </cell>
        </row>
        <row r="495">
          <cell r="A495" t="str">
            <v>Always_OnEGSocial</v>
          </cell>
          <cell r="B495">
            <v>45138</v>
          </cell>
          <cell r="C495">
            <v>45138</v>
          </cell>
          <cell r="D495" t="str">
            <v>Always_On</v>
          </cell>
          <cell r="E495" t="str">
            <v>EG</v>
          </cell>
          <cell r="F495" t="str">
            <v>Social</v>
          </cell>
          <cell r="G495">
            <v>2658</v>
          </cell>
          <cell r="H495">
            <v>232516</v>
          </cell>
          <cell r="I495">
            <v>80135</v>
          </cell>
          <cell r="J495">
            <v>311</v>
          </cell>
        </row>
        <row r="496">
          <cell r="A496" t="str">
            <v>Always_OnEGDisplay</v>
          </cell>
          <cell r="B496">
            <v>45138</v>
          </cell>
          <cell r="C496">
            <v>45138</v>
          </cell>
          <cell r="D496" t="str">
            <v>Always_On</v>
          </cell>
          <cell r="E496" t="str">
            <v>EG</v>
          </cell>
          <cell r="F496" t="str">
            <v>Display</v>
          </cell>
          <cell r="G496">
            <v>2277</v>
          </cell>
          <cell r="H496">
            <v>554646</v>
          </cell>
          <cell r="I496">
            <v>125000</v>
          </cell>
          <cell r="J496">
            <v>65</v>
          </cell>
        </row>
        <row r="497">
          <cell r="A497" t="str">
            <v>Always_OnEGSearch</v>
          </cell>
          <cell r="B497">
            <v>45138</v>
          </cell>
          <cell r="C497">
            <v>45138</v>
          </cell>
          <cell r="D497" t="str">
            <v>Always_On</v>
          </cell>
          <cell r="E497" t="str">
            <v>EG</v>
          </cell>
          <cell r="F497" t="str">
            <v>Search</v>
          </cell>
          <cell r="G497">
            <v>2684</v>
          </cell>
          <cell r="H497">
            <v>36351</v>
          </cell>
          <cell r="I497">
            <v>31189</v>
          </cell>
          <cell r="J497">
            <v>797</v>
          </cell>
        </row>
        <row r="498">
          <cell r="A498" t="str">
            <v>Always_OnUKYouTube</v>
          </cell>
          <cell r="B498">
            <v>45145</v>
          </cell>
          <cell r="C498">
            <v>45145</v>
          </cell>
          <cell r="D498" t="str">
            <v>Always_On</v>
          </cell>
          <cell r="E498" t="str">
            <v>UK</v>
          </cell>
          <cell r="F498" t="str">
            <v>YouTube</v>
          </cell>
          <cell r="G498">
            <v>4685</v>
          </cell>
          <cell r="H498">
            <v>263500</v>
          </cell>
          <cell r="I498">
            <v>126923</v>
          </cell>
          <cell r="J498">
            <v>156</v>
          </cell>
        </row>
        <row r="499">
          <cell r="A499" t="str">
            <v>Always_OnUKSocial</v>
          </cell>
          <cell r="B499">
            <v>45145</v>
          </cell>
          <cell r="C499">
            <v>45145</v>
          </cell>
          <cell r="D499" t="str">
            <v>Always_On</v>
          </cell>
          <cell r="E499" t="str">
            <v>UK</v>
          </cell>
          <cell r="F499" t="str">
            <v>Social</v>
          </cell>
          <cell r="G499">
            <v>4552</v>
          </cell>
          <cell r="H499">
            <v>250618</v>
          </cell>
          <cell r="I499">
            <v>96409</v>
          </cell>
          <cell r="J499">
            <v>153</v>
          </cell>
        </row>
        <row r="500">
          <cell r="A500" t="str">
            <v>Always_OnUKDisplay</v>
          </cell>
          <cell r="B500">
            <v>45145</v>
          </cell>
          <cell r="C500">
            <v>45145</v>
          </cell>
          <cell r="D500" t="str">
            <v>Always_On</v>
          </cell>
          <cell r="E500" t="str">
            <v>UK</v>
          </cell>
          <cell r="F500" t="str">
            <v>Display</v>
          </cell>
          <cell r="G500">
            <v>2529</v>
          </cell>
          <cell r="H500">
            <v>525533</v>
          </cell>
          <cell r="I500">
            <v>100832</v>
          </cell>
          <cell r="J500">
            <v>21</v>
          </cell>
        </row>
        <row r="501">
          <cell r="A501" t="str">
            <v>Always_OnUKSearch</v>
          </cell>
          <cell r="B501">
            <v>45145</v>
          </cell>
          <cell r="C501">
            <v>45145</v>
          </cell>
          <cell r="D501" t="str">
            <v>Always_On</v>
          </cell>
          <cell r="E501" t="str">
            <v>UK</v>
          </cell>
          <cell r="F501" t="str">
            <v>Search</v>
          </cell>
          <cell r="G501">
            <v>3003</v>
          </cell>
          <cell r="H501">
            <v>38410</v>
          </cell>
          <cell r="I501">
            <v>33479</v>
          </cell>
          <cell r="J501">
            <v>236</v>
          </cell>
        </row>
        <row r="502">
          <cell r="A502" t="str">
            <v>Always_OnDEYouTube</v>
          </cell>
          <cell r="B502">
            <v>45145</v>
          </cell>
          <cell r="C502">
            <v>45145</v>
          </cell>
          <cell r="D502" t="str">
            <v>Always_On</v>
          </cell>
          <cell r="E502" t="str">
            <v>DE</v>
          </cell>
          <cell r="F502" t="str">
            <v>YouTube</v>
          </cell>
          <cell r="G502">
            <v>4699</v>
          </cell>
          <cell r="H502">
            <v>272216</v>
          </cell>
          <cell r="I502">
            <v>120116</v>
          </cell>
          <cell r="J502">
            <v>166</v>
          </cell>
        </row>
        <row r="503">
          <cell r="A503" t="str">
            <v>Always_OnDESocial</v>
          </cell>
          <cell r="B503">
            <v>45145</v>
          </cell>
          <cell r="C503">
            <v>45145</v>
          </cell>
          <cell r="D503" t="str">
            <v>Always_On</v>
          </cell>
          <cell r="E503" t="str">
            <v>DE</v>
          </cell>
          <cell r="F503" t="str">
            <v>Social</v>
          </cell>
          <cell r="G503">
            <v>4243</v>
          </cell>
          <cell r="H503">
            <v>280129</v>
          </cell>
          <cell r="I503">
            <v>103686</v>
          </cell>
          <cell r="J503">
            <v>129</v>
          </cell>
        </row>
        <row r="504">
          <cell r="A504" t="str">
            <v>Always_OnDEDisplay</v>
          </cell>
          <cell r="B504">
            <v>45145</v>
          </cell>
          <cell r="C504">
            <v>45145</v>
          </cell>
          <cell r="D504" t="str">
            <v>Always_On</v>
          </cell>
          <cell r="E504" t="str">
            <v>DE</v>
          </cell>
          <cell r="F504" t="str">
            <v>Display</v>
          </cell>
          <cell r="G504">
            <v>3606</v>
          </cell>
          <cell r="H504">
            <v>872650</v>
          </cell>
          <cell r="I504">
            <v>207339</v>
          </cell>
          <cell r="J504">
            <v>31</v>
          </cell>
        </row>
        <row r="505">
          <cell r="A505" t="str">
            <v>Always_OnDESearch</v>
          </cell>
          <cell r="B505">
            <v>45145</v>
          </cell>
          <cell r="C505">
            <v>45145</v>
          </cell>
          <cell r="D505" t="str">
            <v>Always_On</v>
          </cell>
          <cell r="E505" t="str">
            <v>DE</v>
          </cell>
          <cell r="F505" t="str">
            <v>Search</v>
          </cell>
          <cell r="G505">
            <v>7146</v>
          </cell>
          <cell r="H505">
            <v>80855</v>
          </cell>
          <cell r="I505">
            <v>72497</v>
          </cell>
          <cell r="J505">
            <v>596</v>
          </cell>
        </row>
        <row r="506">
          <cell r="A506" t="str">
            <v>Always_OnSAYouTube</v>
          </cell>
          <cell r="B506">
            <v>45145</v>
          </cell>
          <cell r="C506">
            <v>45145</v>
          </cell>
          <cell r="D506" t="str">
            <v>Always_On</v>
          </cell>
          <cell r="E506" t="str">
            <v>SA</v>
          </cell>
          <cell r="F506" t="str">
            <v>YouTube</v>
          </cell>
          <cell r="G506">
            <v>3315</v>
          </cell>
          <cell r="H506">
            <v>223623</v>
          </cell>
          <cell r="I506">
            <v>77571</v>
          </cell>
          <cell r="J506">
            <v>428</v>
          </cell>
        </row>
        <row r="507">
          <cell r="A507" t="str">
            <v>Always_OnSASocial</v>
          </cell>
          <cell r="B507">
            <v>45145</v>
          </cell>
          <cell r="C507">
            <v>45145</v>
          </cell>
          <cell r="D507" t="str">
            <v>Always_On</v>
          </cell>
          <cell r="E507" t="str">
            <v>SA</v>
          </cell>
          <cell r="F507" t="str">
            <v>Social</v>
          </cell>
          <cell r="G507">
            <v>4020</v>
          </cell>
          <cell r="H507">
            <v>341932</v>
          </cell>
          <cell r="I507">
            <v>138464</v>
          </cell>
          <cell r="J507">
            <v>465</v>
          </cell>
        </row>
        <row r="508">
          <cell r="A508" t="str">
            <v>Always_OnSADisplay</v>
          </cell>
          <cell r="B508">
            <v>45145</v>
          </cell>
          <cell r="C508">
            <v>45145</v>
          </cell>
          <cell r="D508" t="str">
            <v>Always_On</v>
          </cell>
          <cell r="E508" t="str">
            <v>SA</v>
          </cell>
          <cell r="F508" t="str">
            <v>Display</v>
          </cell>
          <cell r="G508">
            <v>2003</v>
          </cell>
          <cell r="H508">
            <v>425974</v>
          </cell>
          <cell r="I508">
            <v>83692</v>
          </cell>
          <cell r="J508">
            <v>65</v>
          </cell>
        </row>
        <row r="509">
          <cell r="A509" t="str">
            <v>Always_OnSASearch</v>
          </cell>
          <cell r="B509">
            <v>45145</v>
          </cell>
          <cell r="C509">
            <v>45145</v>
          </cell>
          <cell r="D509" t="str">
            <v>Always_On</v>
          </cell>
          <cell r="E509" t="str">
            <v>SA</v>
          </cell>
          <cell r="F509" t="str">
            <v>Search</v>
          </cell>
          <cell r="G509">
            <v>2250</v>
          </cell>
          <cell r="H509">
            <v>33343</v>
          </cell>
          <cell r="I509">
            <v>29379</v>
          </cell>
          <cell r="J509">
            <v>744</v>
          </cell>
        </row>
        <row r="510">
          <cell r="A510" t="str">
            <v>Always_OnEGYouTube</v>
          </cell>
          <cell r="B510">
            <v>45145</v>
          </cell>
          <cell r="C510">
            <v>45145</v>
          </cell>
          <cell r="D510" t="str">
            <v>Always_On</v>
          </cell>
          <cell r="E510" t="str">
            <v>EG</v>
          </cell>
          <cell r="F510" t="str">
            <v>YouTube</v>
          </cell>
          <cell r="G510">
            <v>4240</v>
          </cell>
          <cell r="H510">
            <v>377606</v>
          </cell>
          <cell r="I510">
            <v>127621</v>
          </cell>
          <cell r="J510">
            <v>509</v>
          </cell>
        </row>
        <row r="511">
          <cell r="A511" t="str">
            <v>Always_OnEGSocial</v>
          </cell>
          <cell r="B511">
            <v>45145</v>
          </cell>
          <cell r="C511">
            <v>45145</v>
          </cell>
          <cell r="D511" t="str">
            <v>Always_On</v>
          </cell>
          <cell r="E511" t="str">
            <v>EG</v>
          </cell>
          <cell r="F511" t="str">
            <v>Social</v>
          </cell>
          <cell r="G511">
            <v>2466</v>
          </cell>
          <cell r="H511">
            <v>188826</v>
          </cell>
          <cell r="I511">
            <v>65549</v>
          </cell>
          <cell r="J511">
            <v>335</v>
          </cell>
        </row>
        <row r="512">
          <cell r="A512" t="str">
            <v>Always_OnEGDisplay</v>
          </cell>
          <cell r="B512">
            <v>45145</v>
          </cell>
          <cell r="C512">
            <v>45145</v>
          </cell>
          <cell r="D512" t="str">
            <v>Always_On</v>
          </cell>
          <cell r="E512" t="str">
            <v>EG</v>
          </cell>
          <cell r="F512" t="str">
            <v>Display</v>
          </cell>
          <cell r="G512">
            <v>1351</v>
          </cell>
          <cell r="H512">
            <v>394791</v>
          </cell>
          <cell r="I512">
            <v>75558</v>
          </cell>
          <cell r="J512">
            <v>44</v>
          </cell>
        </row>
        <row r="513">
          <cell r="A513" t="str">
            <v>Always_OnEGSearch</v>
          </cell>
          <cell r="B513">
            <v>45145</v>
          </cell>
          <cell r="C513">
            <v>45145</v>
          </cell>
          <cell r="D513" t="str">
            <v>Always_On</v>
          </cell>
          <cell r="E513" t="str">
            <v>EG</v>
          </cell>
          <cell r="F513" t="str">
            <v>Search</v>
          </cell>
          <cell r="G513">
            <v>2796</v>
          </cell>
          <cell r="H513">
            <v>32867</v>
          </cell>
          <cell r="I513">
            <v>29202</v>
          </cell>
          <cell r="J513">
            <v>803</v>
          </cell>
        </row>
        <row r="514">
          <cell r="A514" t="str">
            <v>BackToSchool_23UKYouTube</v>
          </cell>
          <cell r="B514">
            <v>45152</v>
          </cell>
          <cell r="C514">
            <v>45152</v>
          </cell>
          <cell r="D514" t="str">
            <v>BackToSchool_23</v>
          </cell>
          <cell r="E514" t="str">
            <v>UK</v>
          </cell>
          <cell r="F514" t="str">
            <v>YouTube</v>
          </cell>
          <cell r="G514">
            <v>14827</v>
          </cell>
          <cell r="H514">
            <v>836208</v>
          </cell>
          <cell r="I514">
            <v>406609</v>
          </cell>
          <cell r="J514">
            <v>534</v>
          </cell>
        </row>
        <row r="515">
          <cell r="A515" t="str">
            <v>BackToSchool_23UKSocial</v>
          </cell>
          <cell r="B515">
            <v>45152</v>
          </cell>
          <cell r="C515">
            <v>45152</v>
          </cell>
          <cell r="D515" t="str">
            <v>BackToSchool_23</v>
          </cell>
          <cell r="E515" t="str">
            <v>UK</v>
          </cell>
          <cell r="F515" t="str">
            <v>Social</v>
          </cell>
          <cell r="G515">
            <v>13898</v>
          </cell>
          <cell r="H515">
            <v>920368</v>
          </cell>
          <cell r="I515">
            <v>347364</v>
          </cell>
          <cell r="J515">
            <v>430</v>
          </cell>
        </row>
        <row r="516">
          <cell r="A516" t="str">
            <v>BackToSchool_23UKDisplay</v>
          </cell>
          <cell r="B516">
            <v>45152</v>
          </cell>
          <cell r="C516">
            <v>45152</v>
          </cell>
          <cell r="D516" t="str">
            <v>BackToSchool_23</v>
          </cell>
          <cell r="E516" t="str">
            <v>UK</v>
          </cell>
          <cell r="F516" t="str">
            <v>Display</v>
          </cell>
          <cell r="G516">
            <v>14304</v>
          </cell>
          <cell r="H516">
            <v>4105404</v>
          </cell>
          <cell r="I516">
            <v>919924</v>
          </cell>
          <cell r="J516">
            <v>121</v>
          </cell>
        </row>
        <row r="517">
          <cell r="A517" t="str">
            <v>BackToSchool_23UKSearch</v>
          </cell>
          <cell r="B517">
            <v>45152</v>
          </cell>
          <cell r="C517">
            <v>45152</v>
          </cell>
          <cell r="D517" t="str">
            <v>BackToSchool_23</v>
          </cell>
          <cell r="E517" t="str">
            <v>UK</v>
          </cell>
          <cell r="F517" t="str">
            <v>Search</v>
          </cell>
          <cell r="G517">
            <v>14228</v>
          </cell>
          <cell r="H517">
            <v>188385</v>
          </cell>
          <cell r="I517">
            <v>159604</v>
          </cell>
          <cell r="J517">
            <v>1303</v>
          </cell>
        </row>
        <row r="518">
          <cell r="A518" t="str">
            <v>BackToSchool_23DEYouTube</v>
          </cell>
          <cell r="B518">
            <v>45152</v>
          </cell>
          <cell r="C518">
            <v>45152</v>
          </cell>
          <cell r="D518" t="str">
            <v>BackToSchool_23</v>
          </cell>
          <cell r="E518" t="str">
            <v>DE</v>
          </cell>
          <cell r="F518" t="str">
            <v>YouTube</v>
          </cell>
          <cell r="G518">
            <v>17521</v>
          </cell>
          <cell r="H518">
            <v>996278</v>
          </cell>
          <cell r="I518">
            <v>418009</v>
          </cell>
          <cell r="J518">
            <v>561</v>
          </cell>
        </row>
        <row r="519">
          <cell r="A519" t="str">
            <v>BackToSchool_23DESocial</v>
          </cell>
          <cell r="B519">
            <v>45152</v>
          </cell>
          <cell r="C519">
            <v>45152</v>
          </cell>
          <cell r="D519" t="str">
            <v>BackToSchool_23</v>
          </cell>
          <cell r="E519" t="str">
            <v>DE</v>
          </cell>
          <cell r="F519" t="str">
            <v>Social</v>
          </cell>
          <cell r="G519">
            <v>17000</v>
          </cell>
          <cell r="H519">
            <v>1334715</v>
          </cell>
          <cell r="I519">
            <v>478683</v>
          </cell>
          <cell r="J519">
            <v>525</v>
          </cell>
        </row>
        <row r="520">
          <cell r="A520" t="str">
            <v>BackToSchool_23DEDisplay</v>
          </cell>
          <cell r="B520">
            <v>45152</v>
          </cell>
          <cell r="C520">
            <v>45152</v>
          </cell>
          <cell r="D520" t="str">
            <v>BackToSchool_23</v>
          </cell>
          <cell r="E520" t="str">
            <v>DE</v>
          </cell>
          <cell r="F520" t="str">
            <v>Display</v>
          </cell>
          <cell r="G520">
            <v>12595</v>
          </cell>
          <cell r="H520">
            <v>3386155</v>
          </cell>
          <cell r="I520">
            <v>626761</v>
          </cell>
          <cell r="J520">
            <v>103</v>
          </cell>
        </row>
        <row r="521">
          <cell r="A521" t="str">
            <v>BackToSchool_23DESearch</v>
          </cell>
          <cell r="B521">
            <v>45152</v>
          </cell>
          <cell r="C521">
            <v>45152</v>
          </cell>
          <cell r="D521" t="str">
            <v>BackToSchool_23</v>
          </cell>
          <cell r="E521" t="str">
            <v>DE</v>
          </cell>
          <cell r="F521" t="str">
            <v>Search</v>
          </cell>
          <cell r="G521">
            <v>16280</v>
          </cell>
          <cell r="H521">
            <v>166478</v>
          </cell>
          <cell r="I521">
            <v>146692</v>
          </cell>
          <cell r="J521">
            <v>1295</v>
          </cell>
        </row>
        <row r="522">
          <cell r="A522" t="str">
            <v>BackToSchool_23SAYouTube</v>
          </cell>
          <cell r="B522">
            <v>45152</v>
          </cell>
          <cell r="C522">
            <v>45152</v>
          </cell>
          <cell r="D522" t="str">
            <v>BackToSchool_23</v>
          </cell>
          <cell r="E522" t="str">
            <v>SA</v>
          </cell>
          <cell r="F522" t="str">
            <v>YouTube</v>
          </cell>
          <cell r="G522">
            <v>7807</v>
          </cell>
          <cell r="H522">
            <v>510854</v>
          </cell>
          <cell r="I522">
            <v>203157</v>
          </cell>
          <cell r="J522">
            <v>1034</v>
          </cell>
        </row>
        <row r="523">
          <cell r="A523" t="str">
            <v>BackToSchool_23SASocial</v>
          </cell>
          <cell r="B523">
            <v>45152</v>
          </cell>
          <cell r="C523">
            <v>45152</v>
          </cell>
          <cell r="D523" t="str">
            <v>BackToSchool_23</v>
          </cell>
          <cell r="E523" t="str">
            <v>SA</v>
          </cell>
          <cell r="F523" t="str">
            <v>Social</v>
          </cell>
          <cell r="G523">
            <v>12054</v>
          </cell>
          <cell r="H523">
            <v>639969</v>
          </cell>
          <cell r="I523">
            <v>247821</v>
          </cell>
          <cell r="J523">
            <v>1423</v>
          </cell>
        </row>
        <row r="524">
          <cell r="A524" t="str">
            <v>BackToSchool_23SADisplay</v>
          </cell>
          <cell r="B524">
            <v>45152</v>
          </cell>
          <cell r="C524">
            <v>45152</v>
          </cell>
          <cell r="D524" t="str">
            <v>BackToSchool_23</v>
          </cell>
          <cell r="E524" t="str">
            <v>SA</v>
          </cell>
          <cell r="F524" t="str">
            <v>Display</v>
          </cell>
          <cell r="G524">
            <v>10117</v>
          </cell>
          <cell r="H524">
            <v>2943237</v>
          </cell>
          <cell r="I524">
            <v>630204</v>
          </cell>
          <cell r="J524">
            <v>298</v>
          </cell>
        </row>
        <row r="525">
          <cell r="A525" t="str">
            <v>BackToSchool_23SASearch</v>
          </cell>
          <cell r="B525">
            <v>45152</v>
          </cell>
          <cell r="C525">
            <v>45152</v>
          </cell>
          <cell r="D525" t="str">
            <v>BackToSchool_23</v>
          </cell>
          <cell r="E525" t="str">
            <v>SA</v>
          </cell>
          <cell r="F525" t="str">
            <v>Search</v>
          </cell>
          <cell r="G525">
            <v>12297</v>
          </cell>
          <cell r="H525">
            <v>167291</v>
          </cell>
          <cell r="I525">
            <v>143777</v>
          </cell>
          <cell r="J525">
            <v>3618</v>
          </cell>
        </row>
        <row r="526">
          <cell r="A526" t="str">
            <v>BackToSchool_23EGYouTube</v>
          </cell>
          <cell r="B526">
            <v>45152</v>
          </cell>
          <cell r="C526">
            <v>45152</v>
          </cell>
          <cell r="D526" t="str">
            <v>BackToSchool_23</v>
          </cell>
          <cell r="E526" t="str">
            <v>EG</v>
          </cell>
          <cell r="F526" t="str">
            <v>YouTube</v>
          </cell>
          <cell r="G526">
            <v>11011</v>
          </cell>
          <cell r="H526">
            <v>979721</v>
          </cell>
          <cell r="I526">
            <v>334553</v>
          </cell>
          <cell r="J526">
            <v>1497</v>
          </cell>
        </row>
        <row r="527">
          <cell r="A527" t="str">
            <v>BackToSchool_23EGSocial</v>
          </cell>
          <cell r="B527">
            <v>45152</v>
          </cell>
          <cell r="C527">
            <v>45152</v>
          </cell>
          <cell r="D527" t="str">
            <v>BackToSchool_23</v>
          </cell>
          <cell r="E527" t="str">
            <v>EG</v>
          </cell>
          <cell r="F527" t="str">
            <v>Social</v>
          </cell>
          <cell r="G527">
            <v>10433</v>
          </cell>
          <cell r="H527">
            <v>730497</v>
          </cell>
          <cell r="I527">
            <v>300593</v>
          </cell>
          <cell r="J527">
            <v>1294</v>
          </cell>
        </row>
        <row r="528">
          <cell r="A528" t="str">
            <v>BackToSchool_23EGDisplay</v>
          </cell>
          <cell r="B528">
            <v>45152</v>
          </cell>
          <cell r="C528">
            <v>45152</v>
          </cell>
          <cell r="D528" t="str">
            <v>BackToSchool_23</v>
          </cell>
          <cell r="E528" t="str">
            <v>EG</v>
          </cell>
          <cell r="F528" t="str">
            <v>Display</v>
          </cell>
          <cell r="G528">
            <v>8799</v>
          </cell>
          <cell r="H528">
            <v>2221716</v>
          </cell>
          <cell r="I528">
            <v>519283</v>
          </cell>
          <cell r="J528">
            <v>272</v>
          </cell>
        </row>
        <row r="529">
          <cell r="A529" t="str">
            <v>BackToSchool_23EGSearch</v>
          </cell>
          <cell r="B529">
            <v>45152</v>
          </cell>
          <cell r="C529">
            <v>45152</v>
          </cell>
          <cell r="D529" t="str">
            <v>BackToSchool_23</v>
          </cell>
          <cell r="E529" t="str">
            <v>EG</v>
          </cell>
          <cell r="F529" t="str">
            <v>Search</v>
          </cell>
          <cell r="G529">
            <v>10264</v>
          </cell>
          <cell r="H529">
            <v>139790</v>
          </cell>
          <cell r="I529">
            <v>119619</v>
          </cell>
          <cell r="J529">
            <v>3319</v>
          </cell>
        </row>
        <row r="530">
          <cell r="A530" t="str">
            <v>BackToSchool_23UKYouTube</v>
          </cell>
          <cell r="B530">
            <v>45159</v>
          </cell>
          <cell r="C530">
            <v>45159</v>
          </cell>
          <cell r="D530" t="str">
            <v>BackToSchool_23</v>
          </cell>
          <cell r="E530" t="str">
            <v>UK</v>
          </cell>
          <cell r="F530" t="str">
            <v>YouTube</v>
          </cell>
          <cell r="G530">
            <v>21839</v>
          </cell>
          <cell r="H530">
            <v>1127990</v>
          </cell>
          <cell r="I530">
            <v>419688</v>
          </cell>
          <cell r="J530">
            <v>755</v>
          </cell>
        </row>
        <row r="531">
          <cell r="A531" t="str">
            <v>BackToSchool_23UKSocial</v>
          </cell>
          <cell r="B531">
            <v>45159</v>
          </cell>
          <cell r="C531">
            <v>45159</v>
          </cell>
          <cell r="D531" t="str">
            <v>BackToSchool_23</v>
          </cell>
          <cell r="E531" t="str">
            <v>UK</v>
          </cell>
          <cell r="F531" t="str">
            <v>Social</v>
          </cell>
          <cell r="G531">
            <v>13830</v>
          </cell>
          <cell r="H531">
            <v>821850</v>
          </cell>
          <cell r="I531">
            <v>368981</v>
          </cell>
          <cell r="J531">
            <v>422</v>
          </cell>
        </row>
        <row r="532">
          <cell r="A532" t="str">
            <v>BackToSchool_23UKDisplay</v>
          </cell>
          <cell r="B532">
            <v>45159</v>
          </cell>
          <cell r="C532">
            <v>45159</v>
          </cell>
          <cell r="D532" t="str">
            <v>BackToSchool_23</v>
          </cell>
          <cell r="E532" t="str">
            <v>UK</v>
          </cell>
          <cell r="F532" t="str">
            <v>Display</v>
          </cell>
          <cell r="G532">
            <v>15006</v>
          </cell>
          <cell r="H532">
            <v>3110857</v>
          </cell>
          <cell r="I532">
            <v>696053</v>
          </cell>
          <cell r="J532">
            <v>131</v>
          </cell>
        </row>
        <row r="533">
          <cell r="A533" t="str">
            <v>BackToSchool_23UKSearch</v>
          </cell>
          <cell r="B533">
            <v>45159</v>
          </cell>
          <cell r="C533">
            <v>45159</v>
          </cell>
          <cell r="D533" t="str">
            <v>BackToSchool_23</v>
          </cell>
          <cell r="E533" t="str">
            <v>UK</v>
          </cell>
          <cell r="F533" t="str">
            <v>Search</v>
          </cell>
          <cell r="G533">
            <v>13446</v>
          </cell>
          <cell r="H533">
            <v>172356</v>
          </cell>
          <cell r="I533">
            <v>150648</v>
          </cell>
          <cell r="J533">
            <v>1135</v>
          </cell>
        </row>
        <row r="534">
          <cell r="A534" t="str">
            <v>BackToSchool_23DEYouTube</v>
          </cell>
          <cell r="B534">
            <v>45159</v>
          </cell>
          <cell r="C534">
            <v>45159</v>
          </cell>
          <cell r="D534" t="str">
            <v>BackToSchool_23</v>
          </cell>
          <cell r="E534" t="str">
            <v>DE</v>
          </cell>
          <cell r="F534" t="str">
            <v>YouTube</v>
          </cell>
          <cell r="G534">
            <v>16527</v>
          </cell>
          <cell r="H534">
            <v>892009</v>
          </cell>
          <cell r="I534">
            <v>342184</v>
          </cell>
          <cell r="J534">
            <v>554</v>
          </cell>
        </row>
        <row r="535">
          <cell r="A535" t="str">
            <v>BackToSchool_23DESocial</v>
          </cell>
          <cell r="B535">
            <v>45159</v>
          </cell>
          <cell r="C535">
            <v>45159</v>
          </cell>
          <cell r="D535" t="str">
            <v>BackToSchool_23</v>
          </cell>
          <cell r="E535" t="str">
            <v>DE</v>
          </cell>
          <cell r="F535" t="str">
            <v>Social</v>
          </cell>
          <cell r="G535">
            <v>16965</v>
          </cell>
          <cell r="H535">
            <v>1302609</v>
          </cell>
          <cell r="I535">
            <v>451912</v>
          </cell>
          <cell r="J535">
            <v>563</v>
          </cell>
        </row>
        <row r="536">
          <cell r="A536" t="str">
            <v>BackToSchool_23DEDisplay</v>
          </cell>
          <cell r="B536">
            <v>45159</v>
          </cell>
          <cell r="C536">
            <v>45159</v>
          </cell>
          <cell r="D536" t="str">
            <v>BackToSchool_23</v>
          </cell>
          <cell r="E536" t="str">
            <v>DE</v>
          </cell>
          <cell r="F536" t="str">
            <v>Display</v>
          </cell>
          <cell r="G536">
            <v>8116</v>
          </cell>
          <cell r="H536">
            <v>1751451</v>
          </cell>
          <cell r="I536">
            <v>397093</v>
          </cell>
          <cell r="J536">
            <v>68</v>
          </cell>
        </row>
        <row r="537">
          <cell r="A537" t="str">
            <v>BackToSchool_23DESearch</v>
          </cell>
          <cell r="B537">
            <v>45159</v>
          </cell>
          <cell r="C537">
            <v>45159</v>
          </cell>
          <cell r="D537" t="str">
            <v>BackToSchool_23</v>
          </cell>
          <cell r="E537" t="str">
            <v>DE</v>
          </cell>
          <cell r="F537" t="str">
            <v>Search</v>
          </cell>
          <cell r="G537">
            <v>10617</v>
          </cell>
          <cell r="H537">
            <v>129902</v>
          </cell>
          <cell r="I537">
            <v>111499</v>
          </cell>
          <cell r="J537">
            <v>958</v>
          </cell>
        </row>
        <row r="538">
          <cell r="A538" t="str">
            <v>BackToSchool_23SAYouTube</v>
          </cell>
          <cell r="B538">
            <v>45159</v>
          </cell>
          <cell r="C538">
            <v>45159</v>
          </cell>
          <cell r="D538" t="str">
            <v>BackToSchool_23</v>
          </cell>
          <cell r="E538" t="str">
            <v>SA</v>
          </cell>
          <cell r="F538" t="str">
            <v>YouTube</v>
          </cell>
          <cell r="G538">
            <v>13093</v>
          </cell>
          <cell r="H538">
            <v>1176807</v>
          </cell>
          <cell r="I538">
            <v>438091</v>
          </cell>
          <cell r="J538">
            <v>1810</v>
          </cell>
        </row>
        <row r="539">
          <cell r="A539" t="str">
            <v>BackToSchool_23SASocial</v>
          </cell>
          <cell r="B539">
            <v>45159</v>
          </cell>
          <cell r="C539">
            <v>45159</v>
          </cell>
          <cell r="D539" t="str">
            <v>BackToSchool_23</v>
          </cell>
          <cell r="E539" t="str">
            <v>SA</v>
          </cell>
          <cell r="F539" t="str">
            <v>Social</v>
          </cell>
          <cell r="G539">
            <v>11211</v>
          </cell>
          <cell r="H539">
            <v>971071</v>
          </cell>
          <cell r="I539">
            <v>433939</v>
          </cell>
          <cell r="J539">
            <v>1458</v>
          </cell>
        </row>
        <row r="540">
          <cell r="A540" t="str">
            <v>BackToSchool_23SADisplay</v>
          </cell>
          <cell r="B540">
            <v>45159</v>
          </cell>
          <cell r="C540">
            <v>45159</v>
          </cell>
          <cell r="D540" t="str">
            <v>BackToSchool_23</v>
          </cell>
          <cell r="E540" t="str">
            <v>SA</v>
          </cell>
          <cell r="F540" t="str">
            <v>Display</v>
          </cell>
          <cell r="G540">
            <v>10010</v>
          </cell>
          <cell r="H540">
            <v>2874670</v>
          </cell>
          <cell r="I540">
            <v>520823</v>
          </cell>
          <cell r="J540">
            <v>328</v>
          </cell>
        </row>
        <row r="541">
          <cell r="A541" t="str">
            <v>BackToSchool_23SASearch</v>
          </cell>
          <cell r="B541">
            <v>45159</v>
          </cell>
          <cell r="C541">
            <v>45159</v>
          </cell>
          <cell r="D541" t="str">
            <v>BackToSchool_23</v>
          </cell>
          <cell r="E541" t="str">
            <v>SA</v>
          </cell>
          <cell r="F541" t="str">
            <v>Search</v>
          </cell>
          <cell r="G541">
            <v>12067</v>
          </cell>
          <cell r="H541">
            <v>164149</v>
          </cell>
          <cell r="I541">
            <v>146402</v>
          </cell>
          <cell r="J541">
            <v>4024</v>
          </cell>
        </row>
        <row r="542">
          <cell r="A542" t="str">
            <v>BackToSchool_23EGYouTube</v>
          </cell>
          <cell r="B542">
            <v>45159</v>
          </cell>
          <cell r="C542">
            <v>45159</v>
          </cell>
          <cell r="D542" t="str">
            <v>BackToSchool_23</v>
          </cell>
          <cell r="E542" t="str">
            <v>EG</v>
          </cell>
          <cell r="F542" t="str">
            <v>YouTube</v>
          </cell>
          <cell r="G542">
            <v>8953</v>
          </cell>
          <cell r="H542">
            <v>686726</v>
          </cell>
          <cell r="I542">
            <v>278574</v>
          </cell>
          <cell r="J542">
            <v>1094</v>
          </cell>
        </row>
        <row r="543">
          <cell r="A543" t="str">
            <v>BackToSchool_23EGSocial</v>
          </cell>
          <cell r="B543">
            <v>45159</v>
          </cell>
          <cell r="C543">
            <v>45159</v>
          </cell>
          <cell r="D543" t="str">
            <v>BackToSchool_23</v>
          </cell>
          <cell r="E543" t="str">
            <v>EG</v>
          </cell>
          <cell r="F543" t="str">
            <v>Social</v>
          </cell>
          <cell r="G543">
            <v>16519</v>
          </cell>
          <cell r="H543">
            <v>1145171</v>
          </cell>
          <cell r="I543">
            <v>538794</v>
          </cell>
          <cell r="J543">
            <v>1992</v>
          </cell>
        </row>
        <row r="544">
          <cell r="A544" t="str">
            <v>BackToSchool_23EGDisplay</v>
          </cell>
          <cell r="B544">
            <v>45159</v>
          </cell>
          <cell r="C544">
            <v>45159</v>
          </cell>
          <cell r="D544" t="str">
            <v>BackToSchool_23</v>
          </cell>
          <cell r="E544" t="str">
            <v>EG</v>
          </cell>
          <cell r="F544" t="str">
            <v>Display</v>
          </cell>
          <cell r="G544">
            <v>5740</v>
          </cell>
          <cell r="H544">
            <v>1314445</v>
          </cell>
          <cell r="I544">
            <v>266661</v>
          </cell>
          <cell r="J544">
            <v>176</v>
          </cell>
        </row>
        <row r="545">
          <cell r="A545" t="str">
            <v>BackToSchool_23EGSearch</v>
          </cell>
          <cell r="B545">
            <v>45159</v>
          </cell>
          <cell r="C545">
            <v>45159</v>
          </cell>
          <cell r="D545" t="str">
            <v>BackToSchool_23</v>
          </cell>
          <cell r="E545" t="str">
            <v>EG</v>
          </cell>
          <cell r="F545" t="str">
            <v>Search</v>
          </cell>
          <cell r="G545">
            <v>11159</v>
          </cell>
          <cell r="H545">
            <v>165984</v>
          </cell>
          <cell r="I545">
            <v>149735</v>
          </cell>
          <cell r="J545">
            <v>3521</v>
          </cell>
        </row>
        <row r="546">
          <cell r="A546" t="str">
            <v>BackToSchool_23UKYouTube</v>
          </cell>
          <cell r="B546">
            <v>45166</v>
          </cell>
          <cell r="C546">
            <v>45166</v>
          </cell>
          <cell r="D546" t="str">
            <v>BackToSchool_23</v>
          </cell>
          <cell r="E546" t="str">
            <v>UK</v>
          </cell>
          <cell r="F546" t="str">
            <v>YouTube</v>
          </cell>
          <cell r="G546">
            <v>15514</v>
          </cell>
          <cell r="H546">
            <v>994450</v>
          </cell>
          <cell r="I546">
            <v>398445</v>
          </cell>
          <cell r="J546">
            <v>553</v>
          </cell>
        </row>
        <row r="547">
          <cell r="A547" t="str">
            <v>BackToSchool_23UKSocial</v>
          </cell>
          <cell r="B547">
            <v>45166</v>
          </cell>
          <cell r="C547">
            <v>45166</v>
          </cell>
          <cell r="D547" t="str">
            <v>BackToSchool_23</v>
          </cell>
          <cell r="E547" t="str">
            <v>UK</v>
          </cell>
          <cell r="F547" t="str">
            <v>Social</v>
          </cell>
          <cell r="G547">
            <v>23419</v>
          </cell>
          <cell r="H547">
            <v>1944361</v>
          </cell>
          <cell r="I547">
            <v>904072</v>
          </cell>
          <cell r="J547">
            <v>777</v>
          </cell>
        </row>
        <row r="548">
          <cell r="A548" t="str">
            <v>BackToSchool_23UKDisplay</v>
          </cell>
          <cell r="B548">
            <v>45166</v>
          </cell>
          <cell r="C548">
            <v>45166</v>
          </cell>
          <cell r="D548" t="str">
            <v>BackToSchool_23</v>
          </cell>
          <cell r="E548" t="str">
            <v>UK</v>
          </cell>
          <cell r="F548" t="str">
            <v>Display</v>
          </cell>
          <cell r="G548">
            <v>8263</v>
          </cell>
          <cell r="H548">
            <v>2335939</v>
          </cell>
          <cell r="I548">
            <v>431489</v>
          </cell>
          <cell r="J548">
            <v>73</v>
          </cell>
        </row>
        <row r="549">
          <cell r="A549" t="str">
            <v>BackToSchool_23UKSearch</v>
          </cell>
          <cell r="B549">
            <v>45166</v>
          </cell>
          <cell r="C549">
            <v>45166</v>
          </cell>
          <cell r="D549" t="str">
            <v>BackToSchool_23</v>
          </cell>
          <cell r="E549" t="str">
            <v>UK</v>
          </cell>
          <cell r="F549" t="str">
            <v>Search</v>
          </cell>
          <cell r="G549">
            <v>13829</v>
          </cell>
          <cell r="H549">
            <v>145000</v>
          </cell>
          <cell r="I549">
            <v>125531</v>
          </cell>
          <cell r="J549">
            <v>1074</v>
          </cell>
        </row>
        <row r="550">
          <cell r="A550" t="str">
            <v>BackToSchool_23DEYouTube</v>
          </cell>
          <cell r="B550">
            <v>45166</v>
          </cell>
          <cell r="C550">
            <v>45166</v>
          </cell>
          <cell r="D550" t="str">
            <v>BackToSchool_23</v>
          </cell>
          <cell r="E550" t="str">
            <v>DE</v>
          </cell>
          <cell r="F550" t="str">
            <v>YouTube</v>
          </cell>
          <cell r="G550">
            <v>24962</v>
          </cell>
          <cell r="H550">
            <v>1520000</v>
          </cell>
          <cell r="I550">
            <v>702410</v>
          </cell>
          <cell r="J550">
            <v>864</v>
          </cell>
        </row>
        <row r="551">
          <cell r="A551" t="str">
            <v>BackToSchool_23DESocial</v>
          </cell>
          <cell r="B551">
            <v>45166</v>
          </cell>
          <cell r="C551">
            <v>45166</v>
          </cell>
          <cell r="D551" t="str">
            <v>BackToSchool_23</v>
          </cell>
          <cell r="E551" t="str">
            <v>DE</v>
          </cell>
          <cell r="F551" t="str">
            <v>Social</v>
          </cell>
          <cell r="G551">
            <v>17894</v>
          </cell>
          <cell r="H551">
            <v>950249</v>
          </cell>
          <cell r="I551">
            <v>350722</v>
          </cell>
          <cell r="J551">
            <v>594</v>
          </cell>
        </row>
        <row r="552">
          <cell r="A552" t="str">
            <v>BackToSchool_23DEDisplay</v>
          </cell>
          <cell r="B552">
            <v>45166</v>
          </cell>
          <cell r="C552">
            <v>45166</v>
          </cell>
          <cell r="D552" t="str">
            <v>BackToSchool_23</v>
          </cell>
          <cell r="E552" t="str">
            <v>DE</v>
          </cell>
          <cell r="F552" t="str">
            <v>Display</v>
          </cell>
          <cell r="G552">
            <v>11851</v>
          </cell>
          <cell r="H552">
            <v>2637506</v>
          </cell>
          <cell r="I552">
            <v>461195</v>
          </cell>
          <cell r="J552">
            <v>108</v>
          </cell>
        </row>
        <row r="553">
          <cell r="A553" t="str">
            <v>BackToSchool_23DESearch</v>
          </cell>
          <cell r="B553">
            <v>45166</v>
          </cell>
          <cell r="C553">
            <v>45166</v>
          </cell>
          <cell r="D553" t="str">
            <v>BackToSchool_23</v>
          </cell>
          <cell r="E553" t="str">
            <v>DE</v>
          </cell>
          <cell r="F553" t="str">
            <v>Search</v>
          </cell>
          <cell r="G553">
            <v>22739</v>
          </cell>
          <cell r="H553">
            <v>329575</v>
          </cell>
          <cell r="I553">
            <v>297619</v>
          </cell>
          <cell r="J553">
            <v>1792</v>
          </cell>
        </row>
        <row r="554">
          <cell r="A554" t="str">
            <v>BackToSchool_23SAYouTube</v>
          </cell>
          <cell r="B554">
            <v>45166</v>
          </cell>
          <cell r="C554">
            <v>45166</v>
          </cell>
          <cell r="D554" t="str">
            <v>BackToSchool_23</v>
          </cell>
          <cell r="E554" t="str">
            <v>SA</v>
          </cell>
          <cell r="F554" t="str">
            <v>YouTube</v>
          </cell>
          <cell r="G554">
            <v>12889</v>
          </cell>
          <cell r="H554">
            <v>880736</v>
          </cell>
          <cell r="I554">
            <v>396710</v>
          </cell>
          <cell r="J554">
            <v>1771</v>
          </cell>
        </row>
        <row r="555">
          <cell r="A555" t="str">
            <v>BackToSchool_23SASocial</v>
          </cell>
          <cell r="B555">
            <v>45166</v>
          </cell>
          <cell r="C555">
            <v>45166</v>
          </cell>
          <cell r="D555" t="str">
            <v>BackToSchool_23</v>
          </cell>
          <cell r="E555" t="str">
            <v>SA</v>
          </cell>
          <cell r="F555" t="str">
            <v>Social</v>
          </cell>
          <cell r="G555">
            <v>9981</v>
          </cell>
          <cell r="H555">
            <v>575012</v>
          </cell>
          <cell r="I555">
            <v>253881</v>
          </cell>
          <cell r="J555">
            <v>1184</v>
          </cell>
        </row>
        <row r="556">
          <cell r="A556" t="str">
            <v>BackToSchool_23SADisplay</v>
          </cell>
          <cell r="B556">
            <v>45166</v>
          </cell>
          <cell r="C556">
            <v>45166</v>
          </cell>
          <cell r="D556" t="str">
            <v>BackToSchool_23</v>
          </cell>
          <cell r="E556" t="str">
            <v>SA</v>
          </cell>
          <cell r="F556" t="str">
            <v>Display</v>
          </cell>
          <cell r="G556">
            <v>8819</v>
          </cell>
          <cell r="H556">
            <v>2518883</v>
          </cell>
          <cell r="I556">
            <v>491072</v>
          </cell>
          <cell r="J556">
            <v>271</v>
          </cell>
        </row>
        <row r="557">
          <cell r="A557" t="str">
            <v>BackToSchool_23SASearch</v>
          </cell>
          <cell r="B557">
            <v>45166</v>
          </cell>
          <cell r="C557">
            <v>45166</v>
          </cell>
          <cell r="D557" t="str">
            <v>BackToSchool_23</v>
          </cell>
          <cell r="E557" t="str">
            <v>SA</v>
          </cell>
          <cell r="F557" t="str">
            <v>Search</v>
          </cell>
          <cell r="G557">
            <v>18071</v>
          </cell>
          <cell r="H557">
            <v>224034</v>
          </cell>
          <cell r="I557">
            <v>202585</v>
          </cell>
          <cell r="J557">
            <v>5485</v>
          </cell>
        </row>
        <row r="558">
          <cell r="A558" t="str">
            <v>BackToSchool_23EGYouTube</v>
          </cell>
          <cell r="B558">
            <v>45166</v>
          </cell>
          <cell r="C558">
            <v>45166</v>
          </cell>
          <cell r="D558" t="str">
            <v>BackToSchool_23</v>
          </cell>
          <cell r="E558" t="str">
            <v>EG</v>
          </cell>
          <cell r="F558" t="str">
            <v>YouTube</v>
          </cell>
          <cell r="G558">
            <v>13477</v>
          </cell>
          <cell r="H558">
            <v>993949</v>
          </cell>
          <cell r="I558">
            <v>494186</v>
          </cell>
          <cell r="J558">
            <v>1611</v>
          </cell>
        </row>
        <row r="559">
          <cell r="A559" t="str">
            <v>BackToSchool_23EGSocial</v>
          </cell>
          <cell r="B559">
            <v>45166</v>
          </cell>
          <cell r="C559">
            <v>45166</v>
          </cell>
          <cell r="D559" t="str">
            <v>BackToSchool_23</v>
          </cell>
          <cell r="E559" t="str">
            <v>EG</v>
          </cell>
          <cell r="F559" t="str">
            <v>Social</v>
          </cell>
          <cell r="G559">
            <v>13406</v>
          </cell>
          <cell r="H559">
            <v>1139585</v>
          </cell>
          <cell r="I559">
            <v>392482</v>
          </cell>
          <cell r="J559">
            <v>1597</v>
          </cell>
        </row>
        <row r="560">
          <cell r="A560" t="str">
            <v>BackToSchool_23EGDisplay</v>
          </cell>
          <cell r="B560">
            <v>45166</v>
          </cell>
          <cell r="C560">
            <v>45166</v>
          </cell>
          <cell r="D560" t="str">
            <v>BackToSchool_23</v>
          </cell>
          <cell r="E560" t="str">
            <v>EG</v>
          </cell>
          <cell r="F560" t="str">
            <v>Display</v>
          </cell>
          <cell r="G560">
            <v>11221</v>
          </cell>
          <cell r="H560">
            <v>2933767</v>
          </cell>
          <cell r="I560">
            <v>724057</v>
          </cell>
          <cell r="J560">
            <v>346</v>
          </cell>
        </row>
        <row r="561">
          <cell r="A561" t="str">
            <v>BackToSchool_23EGSearch</v>
          </cell>
          <cell r="B561">
            <v>45166</v>
          </cell>
          <cell r="C561">
            <v>45166</v>
          </cell>
          <cell r="D561" t="str">
            <v>BackToSchool_23</v>
          </cell>
          <cell r="E561" t="str">
            <v>EG</v>
          </cell>
          <cell r="F561" t="str">
            <v>Search</v>
          </cell>
          <cell r="G561">
            <v>8036</v>
          </cell>
          <cell r="H561">
            <v>80545</v>
          </cell>
          <cell r="I561">
            <v>68367</v>
          </cell>
          <cell r="J561">
            <v>2389</v>
          </cell>
        </row>
        <row r="562">
          <cell r="A562" t="str">
            <v>BackToSchool_23UKYouTube</v>
          </cell>
          <cell r="B562">
            <v>45173</v>
          </cell>
          <cell r="C562">
            <v>45173</v>
          </cell>
          <cell r="D562" t="str">
            <v>BackToSchool_23</v>
          </cell>
          <cell r="E562" t="str">
            <v>UK</v>
          </cell>
          <cell r="F562" t="str">
            <v>YouTube</v>
          </cell>
          <cell r="G562">
            <v>27704</v>
          </cell>
          <cell r="H562">
            <v>1401035</v>
          </cell>
          <cell r="I562">
            <v>559892</v>
          </cell>
          <cell r="J562">
            <v>996</v>
          </cell>
        </row>
        <row r="563">
          <cell r="A563" t="str">
            <v>BackToSchool_23UKSocial</v>
          </cell>
          <cell r="B563">
            <v>45173</v>
          </cell>
          <cell r="C563">
            <v>45173</v>
          </cell>
          <cell r="D563" t="str">
            <v>BackToSchool_23</v>
          </cell>
          <cell r="E563" t="str">
            <v>UK</v>
          </cell>
          <cell r="F563" t="str">
            <v>Social</v>
          </cell>
          <cell r="G563">
            <v>13008</v>
          </cell>
          <cell r="H563">
            <v>1063276</v>
          </cell>
          <cell r="I563">
            <v>474940</v>
          </cell>
          <cell r="J563">
            <v>432</v>
          </cell>
        </row>
        <row r="564">
          <cell r="A564" t="str">
            <v>BackToSchool_23UKDisplay</v>
          </cell>
          <cell r="B564">
            <v>45173</v>
          </cell>
          <cell r="C564">
            <v>45173</v>
          </cell>
          <cell r="D564" t="str">
            <v>BackToSchool_23</v>
          </cell>
          <cell r="E564" t="str">
            <v>UK</v>
          </cell>
          <cell r="F564" t="str">
            <v>Display</v>
          </cell>
          <cell r="G564">
            <v>11697</v>
          </cell>
          <cell r="H564">
            <v>3215865</v>
          </cell>
          <cell r="I564">
            <v>587711</v>
          </cell>
          <cell r="J564">
            <v>99</v>
          </cell>
        </row>
        <row r="565">
          <cell r="A565" t="str">
            <v>BackToSchool_23UKSearch</v>
          </cell>
          <cell r="B565">
            <v>45173</v>
          </cell>
          <cell r="C565">
            <v>45173</v>
          </cell>
          <cell r="D565" t="str">
            <v>BackToSchool_23</v>
          </cell>
          <cell r="E565" t="str">
            <v>UK</v>
          </cell>
          <cell r="F565" t="str">
            <v>Search</v>
          </cell>
          <cell r="G565">
            <v>21161</v>
          </cell>
          <cell r="H565">
            <v>215861</v>
          </cell>
          <cell r="I565">
            <v>182568</v>
          </cell>
          <cell r="J565">
            <v>1853</v>
          </cell>
        </row>
        <row r="566">
          <cell r="A566" t="str">
            <v>BackToSchool_23DEYouTube</v>
          </cell>
          <cell r="B566">
            <v>45173</v>
          </cell>
          <cell r="C566">
            <v>45173</v>
          </cell>
          <cell r="D566" t="str">
            <v>BackToSchool_23</v>
          </cell>
          <cell r="E566" t="str">
            <v>DE</v>
          </cell>
          <cell r="F566" t="str">
            <v>YouTube</v>
          </cell>
          <cell r="G566">
            <v>16397</v>
          </cell>
          <cell r="H566">
            <v>843345</v>
          </cell>
          <cell r="I566">
            <v>292036</v>
          </cell>
          <cell r="J566">
            <v>570</v>
          </cell>
        </row>
        <row r="567">
          <cell r="A567" t="str">
            <v>BackToSchool_23DESocial</v>
          </cell>
          <cell r="B567">
            <v>45173</v>
          </cell>
          <cell r="C567">
            <v>45173</v>
          </cell>
          <cell r="D567" t="str">
            <v>BackToSchool_23</v>
          </cell>
          <cell r="E567" t="str">
            <v>DE</v>
          </cell>
          <cell r="F567" t="str">
            <v>Social</v>
          </cell>
          <cell r="G567">
            <v>18882</v>
          </cell>
          <cell r="H567">
            <v>1297966</v>
          </cell>
          <cell r="I567">
            <v>547040</v>
          </cell>
          <cell r="J567">
            <v>624</v>
          </cell>
        </row>
        <row r="568">
          <cell r="A568" t="str">
            <v>BackToSchool_23DEDisplay</v>
          </cell>
          <cell r="B568">
            <v>45173</v>
          </cell>
          <cell r="C568">
            <v>45173</v>
          </cell>
          <cell r="D568" t="str">
            <v>BackToSchool_23</v>
          </cell>
          <cell r="E568" t="str">
            <v>DE</v>
          </cell>
          <cell r="F568" t="str">
            <v>Display</v>
          </cell>
          <cell r="G568">
            <v>11197</v>
          </cell>
          <cell r="H568">
            <v>2507705</v>
          </cell>
          <cell r="I568">
            <v>610169</v>
          </cell>
          <cell r="J568">
            <v>88</v>
          </cell>
        </row>
        <row r="569">
          <cell r="A569" t="str">
            <v>BackToSchool_23DESearch</v>
          </cell>
          <cell r="B569">
            <v>45173</v>
          </cell>
          <cell r="C569">
            <v>45173</v>
          </cell>
          <cell r="D569" t="str">
            <v>BackToSchool_23</v>
          </cell>
          <cell r="E569" t="str">
            <v>DE</v>
          </cell>
          <cell r="F569" t="str">
            <v>Search</v>
          </cell>
          <cell r="G569">
            <v>11611</v>
          </cell>
          <cell r="H569">
            <v>130896</v>
          </cell>
          <cell r="I569">
            <v>114893</v>
          </cell>
          <cell r="J569">
            <v>995</v>
          </cell>
        </row>
        <row r="570">
          <cell r="A570" t="str">
            <v>BackToSchool_23SAYouTube</v>
          </cell>
          <cell r="B570">
            <v>45173</v>
          </cell>
          <cell r="C570">
            <v>45173</v>
          </cell>
          <cell r="D570" t="str">
            <v>BackToSchool_23</v>
          </cell>
          <cell r="E570" t="str">
            <v>SA</v>
          </cell>
          <cell r="F570" t="str">
            <v>YouTube</v>
          </cell>
          <cell r="G570">
            <v>9217</v>
          </cell>
          <cell r="H570">
            <v>528806</v>
          </cell>
          <cell r="I570">
            <v>224704</v>
          </cell>
          <cell r="J570">
            <v>1095</v>
          </cell>
        </row>
        <row r="571">
          <cell r="A571" t="str">
            <v>BackToSchool_23SASocial</v>
          </cell>
          <cell r="B571">
            <v>45173</v>
          </cell>
          <cell r="C571">
            <v>45173</v>
          </cell>
          <cell r="D571" t="str">
            <v>BackToSchool_23</v>
          </cell>
          <cell r="E571" t="str">
            <v>SA</v>
          </cell>
          <cell r="F571" t="str">
            <v>Social</v>
          </cell>
          <cell r="G571">
            <v>8074</v>
          </cell>
          <cell r="H571">
            <v>564003</v>
          </cell>
          <cell r="I571">
            <v>276660</v>
          </cell>
          <cell r="J571">
            <v>1120</v>
          </cell>
        </row>
        <row r="572">
          <cell r="A572" t="str">
            <v>BackToSchool_23SADisplay</v>
          </cell>
          <cell r="B572">
            <v>45173</v>
          </cell>
          <cell r="C572">
            <v>45173</v>
          </cell>
          <cell r="D572" t="str">
            <v>BackToSchool_23</v>
          </cell>
          <cell r="E572" t="str">
            <v>SA</v>
          </cell>
          <cell r="F572" t="str">
            <v>Display</v>
          </cell>
          <cell r="G572">
            <v>4473</v>
          </cell>
          <cell r="H572">
            <v>1006494</v>
          </cell>
          <cell r="I572">
            <v>233055</v>
          </cell>
          <cell r="J572">
            <v>147</v>
          </cell>
        </row>
        <row r="573">
          <cell r="A573" t="str">
            <v>BackToSchool_23SASearch</v>
          </cell>
          <cell r="B573">
            <v>45173</v>
          </cell>
          <cell r="C573">
            <v>45173</v>
          </cell>
          <cell r="D573" t="str">
            <v>BackToSchool_23</v>
          </cell>
          <cell r="E573" t="str">
            <v>SA</v>
          </cell>
          <cell r="F573" t="str">
            <v>Search</v>
          </cell>
          <cell r="G573">
            <v>8752</v>
          </cell>
          <cell r="H573">
            <v>125931</v>
          </cell>
          <cell r="I573">
            <v>112017</v>
          </cell>
          <cell r="J573">
            <v>2602</v>
          </cell>
        </row>
        <row r="574">
          <cell r="A574" t="str">
            <v>BackToSchool_23EGYouTube</v>
          </cell>
          <cell r="B574">
            <v>45173</v>
          </cell>
          <cell r="C574">
            <v>45173</v>
          </cell>
          <cell r="D574" t="str">
            <v>BackToSchool_23</v>
          </cell>
          <cell r="E574" t="str">
            <v>EG</v>
          </cell>
          <cell r="F574" t="str">
            <v>YouTube</v>
          </cell>
          <cell r="G574">
            <v>9928</v>
          </cell>
          <cell r="H574">
            <v>603828</v>
          </cell>
          <cell r="I574">
            <v>209428</v>
          </cell>
          <cell r="J574">
            <v>1206</v>
          </cell>
        </row>
        <row r="575">
          <cell r="A575" t="str">
            <v>BackToSchool_23EGSocial</v>
          </cell>
          <cell r="B575">
            <v>45173</v>
          </cell>
          <cell r="C575">
            <v>45173</v>
          </cell>
          <cell r="D575" t="str">
            <v>BackToSchool_23</v>
          </cell>
          <cell r="E575" t="str">
            <v>EG</v>
          </cell>
          <cell r="F575" t="str">
            <v>Social</v>
          </cell>
          <cell r="G575">
            <v>15505</v>
          </cell>
          <cell r="H575">
            <v>797426</v>
          </cell>
          <cell r="I575">
            <v>307897</v>
          </cell>
          <cell r="J575">
            <v>1778</v>
          </cell>
        </row>
        <row r="576">
          <cell r="A576" t="str">
            <v>BackToSchool_23EGDisplay</v>
          </cell>
          <cell r="B576">
            <v>45173</v>
          </cell>
          <cell r="C576">
            <v>45173</v>
          </cell>
          <cell r="D576" t="str">
            <v>BackToSchool_23</v>
          </cell>
          <cell r="E576" t="str">
            <v>EG</v>
          </cell>
          <cell r="F576" t="str">
            <v>Display</v>
          </cell>
          <cell r="G576">
            <v>9462</v>
          </cell>
          <cell r="H576">
            <v>2718839</v>
          </cell>
          <cell r="I576">
            <v>509132</v>
          </cell>
          <cell r="J576">
            <v>293</v>
          </cell>
        </row>
        <row r="577">
          <cell r="A577" t="str">
            <v>BackToSchool_23EGSearch</v>
          </cell>
          <cell r="B577">
            <v>45173</v>
          </cell>
          <cell r="C577">
            <v>45173</v>
          </cell>
          <cell r="D577" t="str">
            <v>BackToSchool_23</v>
          </cell>
          <cell r="E577" t="str">
            <v>EG</v>
          </cell>
          <cell r="F577" t="str">
            <v>Search</v>
          </cell>
          <cell r="G577">
            <v>7624</v>
          </cell>
          <cell r="H577">
            <v>97332</v>
          </cell>
          <cell r="I577">
            <v>87933</v>
          </cell>
          <cell r="J577">
            <v>2303</v>
          </cell>
        </row>
        <row r="578">
          <cell r="A578" t="str">
            <v>BackToSchool_23UKYouTube</v>
          </cell>
          <cell r="B578">
            <v>45180</v>
          </cell>
          <cell r="C578">
            <v>45180</v>
          </cell>
          <cell r="D578" t="str">
            <v>BackToSchool_23</v>
          </cell>
          <cell r="E578" t="str">
            <v>UK</v>
          </cell>
          <cell r="F578" t="str">
            <v>YouTube</v>
          </cell>
          <cell r="G578">
            <v>11001</v>
          </cell>
          <cell r="H578">
            <v>739608</v>
          </cell>
          <cell r="I578">
            <v>334635</v>
          </cell>
          <cell r="J578">
            <v>334</v>
          </cell>
        </row>
        <row r="579">
          <cell r="A579" t="str">
            <v>BackToSchool_23UKSocial</v>
          </cell>
          <cell r="B579">
            <v>45180</v>
          </cell>
          <cell r="C579">
            <v>45180</v>
          </cell>
          <cell r="D579" t="str">
            <v>BackToSchool_23</v>
          </cell>
          <cell r="E579" t="str">
            <v>UK</v>
          </cell>
          <cell r="F579" t="str">
            <v>Social</v>
          </cell>
          <cell r="G579">
            <v>26919</v>
          </cell>
          <cell r="H579">
            <v>1715322</v>
          </cell>
          <cell r="I579">
            <v>603269</v>
          </cell>
          <cell r="J579">
            <v>966</v>
          </cell>
        </row>
        <row r="580">
          <cell r="A580" t="str">
            <v>BackToSchool_23UKDisplay</v>
          </cell>
          <cell r="B580">
            <v>45180</v>
          </cell>
          <cell r="C580">
            <v>45180</v>
          </cell>
          <cell r="D580" t="str">
            <v>BackToSchool_23</v>
          </cell>
          <cell r="E580" t="str">
            <v>UK</v>
          </cell>
          <cell r="F580" t="str">
            <v>Display</v>
          </cell>
          <cell r="G580">
            <v>7460</v>
          </cell>
          <cell r="H580">
            <v>2220558</v>
          </cell>
          <cell r="I580">
            <v>388431</v>
          </cell>
          <cell r="J580">
            <v>62</v>
          </cell>
        </row>
        <row r="581">
          <cell r="A581" t="str">
            <v>BackToSchool_23UKSearch</v>
          </cell>
          <cell r="B581">
            <v>45180</v>
          </cell>
          <cell r="C581">
            <v>45180</v>
          </cell>
          <cell r="D581" t="str">
            <v>BackToSchool_23</v>
          </cell>
          <cell r="E581" t="str">
            <v>UK</v>
          </cell>
          <cell r="F581" t="str">
            <v>Search</v>
          </cell>
          <cell r="G581">
            <v>13172</v>
          </cell>
          <cell r="H581">
            <v>182522</v>
          </cell>
          <cell r="I581">
            <v>152597</v>
          </cell>
          <cell r="J581">
            <v>1085</v>
          </cell>
        </row>
        <row r="582">
          <cell r="A582" t="str">
            <v>BackToSchool_23DEYouTube</v>
          </cell>
          <cell r="B582">
            <v>45180</v>
          </cell>
          <cell r="C582">
            <v>45180</v>
          </cell>
          <cell r="D582" t="str">
            <v>BackToSchool_23</v>
          </cell>
          <cell r="E582" t="str">
            <v>DE</v>
          </cell>
          <cell r="F582" t="str">
            <v>YouTube</v>
          </cell>
          <cell r="G582">
            <v>23274</v>
          </cell>
          <cell r="H582">
            <v>1480873</v>
          </cell>
          <cell r="I582">
            <v>739755</v>
          </cell>
          <cell r="J582">
            <v>749</v>
          </cell>
        </row>
        <row r="583">
          <cell r="A583" t="str">
            <v>BackToSchool_23DESocial</v>
          </cell>
          <cell r="B583">
            <v>45180</v>
          </cell>
          <cell r="C583">
            <v>45180</v>
          </cell>
          <cell r="D583" t="str">
            <v>BackToSchool_23</v>
          </cell>
          <cell r="E583" t="str">
            <v>DE</v>
          </cell>
          <cell r="F583" t="str">
            <v>Social</v>
          </cell>
          <cell r="G583">
            <v>15958</v>
          </cell>
          <cell r="H583">
            <v>1089029</v>
          </cell>
          <cell r="I583">
            <v>492405</v>
          </cell>
          <cell r="J583">
            <v>551</v>
          </cell>
        </row>
        <row r="584">
          <cell r="A584" t="str">
            <v>BackToSchool_23DEDisplay</v>
          </cell>
          <cell r="B584">
            <v>45180</v>
          </cell>
          <cell r="C584">
            <v>45180</v>
          </cell>
          <cell r="D584" t="str">
            <v>BackToSchool_23</v>
          </cell>
          <cell r="E584" t="str">
            <v>DE</v>
          </cell>
          <cell r="F584" t="str">
            <v>Display</v>
          </cell>
          <cell r="G584">
            <v>13493</v>
          </cell>
          <cell r="H584">
            <v>2824945</v>
          </cell>
          <cell r="I584">
            <v>493765</v>
          </cell>
          <cell r="J584">
            <v>103</v>
          </cell>
        </row>
        <row r="585">
          <cell r="A585" t="str">
            <v>BackToSchool_23DESearch</v>
          </cell>
          <cell r="B585">
            <v>45180</v>
          </cell>
          <cell r="C585">
            <v>45180</v>
          </cell>
          <cell r="D585" t="str">
            <v>BackToSchool_23</v>
          </cell>
          <cell r="E585" t="str">
            <v>DE</v>
          </cell>
          <cell r="F585" t="str">
            <v>Search</v>
          </cell>
          <cell r="G585">
            <v>17056</v>
          </cell>
          <cell r="H585">
            <v>233838</v>
          </cell>
          <cell r="I585">
            <v>205706</v>
          </cell>
          <cell r="J585">
            <v>1294</v>
          </cell>
        </row>
        <row r="586">
          <cell r="A586" t="str">
            <v>BackToSchool_23SAYouTube</v>
          </cell>
          <cell r="B586">
            <v>45180</v>
          </cell>
          <cell r="C586">
            <v>45180</v>
          </cell>
          <cell r="D586" t="str">
            <v>BackToSchool_23</v>
          </cell>
          <cell r="E586" t="str">
            <v>SA</v>
          </cell>
          <cell r="F586" t="str">
            <v>YouTube</v>
          </cell>
          <cell r="G586">
            <v>13591</v>
          </cell>
          <cell r="H586">
            <v>944566</v>
          </cell>
          <cell r="I586">
            <v>385750</v>
          </cell>
          <cell r="J586">
            <v>1777</v>
          </cell>
        </row>
        <row r="587">
          <cell r="A587" t="str">
            <v>BackToSchool_23SASocial</v>
          </cell>
          <cell r="B587">
            <v>45180</v>
          </cell>
          <cell r="C587">
            <v>45180</v>
          </cell>
          <cell r="D587" t="str">
            <v>BackToSchool_23</v>
          </cell>
          <cell r="E587" t="str">
            <v>SA</v>
          </cell>
          <cell r="F587" t="str">
            <v>Social</v>
          </cell>
          <cell r="G587">
            <v>10307</v>
          </cell>
          <cell r="H587">
            <v>609798</v>
          </cell>
          <cell r="I587">
            <v>214289</v>
          </cell>
          <cell r="J587">
            <v>1212</v>
          </cell>
        </row>
        <row r="588">
          <cell r="A588" t="str">
            <v>BackToSchool_23SADisplay</v>
          </cell>
          <cell r="B588">
            <v>45180</v>
          </cell>
          <cell r="C588">
            <v>45180</v>
          </cell>
          <cell r="D588" t="str">
            <v>BackToSchool_23</v>
          </cell>
          <cell r="E588" t="str">
            <v>SA</v>
          </cell>
          <cell r="F588" t="str">
            <v>Display</v>
          </cell>
          <cell r="G588">
            <v>8070</v>
          </cell>
          <cell r="H588">
            <v>2164523</v>
          </cell>
          <cell r="I588">
            <v>464704</v>
          </cell>
          <cell r="J588">
            <v>248</v>
          </cell>
        </row>
        <row r="589">
          <cell r="A589" t="str">
            <v>BackToSchool_23SASearch</v>
          </cell>
          <cell r="B589">
            <v>45180</v>
          </cell>
          <cell r="C589">
            <v>45180</v>
          </cell>
          <cell r="D589" t="str">
            <v>BackToSchool_23</v>
          </cell>
          <cell r="E589" t="str">
            <v>SA</v>
          </cell>
          <cell r="F589" t="str">
            <v>Search</v>
          </cell>
          <cell r="G589">
            <v>15474</v>
          </cell>
          <cell r="H589">
            <v>192003</v>
          </cell>
          <cell r="I589">
            <v>167376</v>
          </cell>
          <cell r="J589">
            <v>4732</v>
          </cell>
        </row>
        <row r="590">
          <cell r="A590" t="str">
            <v>BackToSchool_23EGYouTube</v>
          </cell>
          <cell r="B590">
            <v>45180</v>
          </cell>
          <cell r="C590">
            <v>45180</v>
          </cell>
          <cell r="D590" t="str">
            <v>BackToSchool_23</v>
          </cell>
          <cell r="E590" t="str">
            <v>EG</v>
          </cell>
          <cell r="F590" t="str">
            <v>YouTube</v>
          </cell>
          <cell r="G590">
            <v>10632</v>
          </cell>
          <cell r="H590">
            <v>620164</v>
          </cell>
          <cell r="I590">
            <v>240244</v>
          </cell>
          <cell r="J590">
            <v>1459</v>
          </cell>
        </row>
        <row r="591">
          <cell r="A591" t="str">
            <v>BackToSchool_23EGSocial</v>
          </cell>
          <cell r="B591">
            <v>45180</v>
          </cell>
          <cell r="C591">
            <v>45180</v>
          </cell>
          <cell r="D591" t="str">
            <v>BackToSchool_23</v>
          </cell>
          <cell r="E591" t="str">
            <v>EG</v>
          </cell>
          <cell r="F591" t="str">
            <v>Social</v>
          </cell>
          <cell r="G591">
            <v>8657</v>
          </cell>
          <cell r="H591">
            <v>571288</v>
          </cell>
          <cell r="I591">
            <v>257455</v>
          </cell>
          <cell r="J591">
            <v>1005</v>
          </cell>
        </row>
        <row r="592">
          <cell r="A592" t="str">
            <v>BackToSchool_23EGDisplay</v>
          </cell>
          <cell r="B592">
            <v>45180</v>
          </cell>
          <cell r="C592">
            <v>45180</v>
          </cell>
          <cell r="D592" t="str">
            <v>BackToSchool_23</v>
          </cell>
          <cell r="E592" t="str">
            <v>EG</v>
          </cell>
          <cell r="F592" t="str">
            <v>Display</v>
          </cell>
          <cell r="G592">
            <v>9223</v>
          </cell>
          <cell r="H592">
            <v>2573605</v>
          </cell>
          <cell r="I592">
            <v>532871</v>
          </cell>
          <cell r="J592">
            <v>296</v>
          </cell>
        </row>
        <row r="593">
          <cell r="A593" t="str">
            <v>BackToSchool_23EGSearch</v>
          </cell>
          <cell r="B593">
            <v>45180</v>
          </cell>
          <cell r="C593">
            <v>45180</v>
          </cell>
          <cell r="D593" t="str">
            <v>BackToSchool_23</v>
          </cell>
          <cell r="E593" t="str">
            <v>EG</v>
          </cell>
          <cell r="F593" t="str">
            <v>Search</v>
          </cell>
          <cell r="G593">
            <v>17178</v>
          </cell>
          <cell r="H593">
            <v>176814</v>
          </cell>
          <cell r="I593">
            <v>151244</v>
          </cell>
          <cell r="J593">
            <v>4968</v>
          </cell>
        </row>
        <row r="594">
          <cell r="A594" t="str">
            <v>BackToSchool_23UKYouTube</v>
          </cell>
          <cell r="B594">
            <v>45187</v>
          </cell>
          <cell r="C594">
            <v>45187</v>
          </cell>
          <cell r="D594" t="str">
            <v>BackToSchool_23</v>
          </cell>
          <cell r="E594" t="str">
            <v>UK</v>
          </cell>
          <cell r="F594" t="str">
            <v>YouTube</v>
          </cell>
          <cell r="G594">
            <v>15807</v>
          </cell>
          <cell r="H594">
            <v>802630</v>
          </cell>
          <cell r="I594">
            <v>336142</v>
          </cell>
          <cell r="J594">
            <v>554</v>
          </cell>
        </row>
        <row r="595">
          <cell r="A595" t="str">
            <v>BackToSchool_23UKSocial</v>
          </cell>
          <cell r="B595">
            <v>45187</v>
          </cell>
          <cell r="C595">
            <v>45187</v>
          </cell>
          <cell r="D595" t="str">
            <v>BackToSchool_23</v>
          </cell>
          <cell r="E595" t="str">
            <v>UK</v>
          </cell>
          <cell r="F595" t="str">
            <v>Social</v>
          </cell>
          <cell r="G595">
            <v>12570</v>
          </cell>
          <cell r="H595">
            <v>762544</v>
          </cell>
          <cell r="I595">
            <v>337943</v>
          </cell>
          <cell r="J595">
            <v>407</v>
          </cell>
        </row>
        <row r="596">
          <cell r="A596" t="str">
            <v>BackToSchool_23UKDisplay</v>
          </cell>
          <cell r="B596">
            <v>45187</v>
          </cell>
          <cell r="C596">
            <v>45187</v>
          </cell>
          <cell r="D596" t="str">
            <v>BackToSchool_23</v>
          </cell>
          <cell r="E596" t="str">
            <v>UK</v>
          </cell>
          <cell r="F596" t="str">
            <v>Display</v>
          </cell>
          <cell r="G596">
            <v>12233</v>
          </cell>
          <cell r="H596">
            <v>2750720</v>
          </cell>
          <cell r="I596">
            <v>676175</v>
          </cell>
          <cell r="J596">
            <v>103</v>
          </cell>
        </row>
        <row r="597">
          <cell r="A597" t="str">
            <v>BackToSchool_23UKSearch</v>
          </cell>
          <cell r="B597">
            <v>45187</v>
          </cell>
          <cell r="C597">
            <v>45187</v>
          </cell>
          <cell r="D597" t="str">
            <v>BackToSchool_23</v>
          </cell>
          <cell r="E597" t="str">
            <v>UK</v>
          </cell>
          <cell r="F597" t="str">
            <v>Search</v>
          </cell>
          <cell r="G597">
            <v>21546</v>
          </cell>
          <cell r="H597">
            <v>281052</v>
          </cell>
          <cell r="I597">
            <v>234427</v>
          </cell>
          <cell r="J597">
            <v>1748</v>
          </cell>
        </row>
        <row r="598">
          <cell r="A598" t="str">
            <v>BackToSchool_23DEYouTube</v>
          </cell>
          <cell r="B598">
            <v>45187</v>
          </cell>
          <cell r="C598">
            <v>45187</v>
          </cell>
          <cell r="D598" t="str">
            <v>BackToSchool_23</v>
          </cell>
          <cell r="E598" t="str">
            <v>DE</v>
          </cell>
          <cell r="F598" t="str">
            <v>YouTube</v>
          </cell>
          <cell r="G598">
            <v>11827</v>
          </cell>
          <cell r="H598">
            <v>847310</v>
          </cell>
          <cell r="I598">
            <v>340378</v>
          </cell>
          <cell r="J598">
            <v>368</v>
          </cell>
        </row>
        <row r="599">
          <cell r="A599" t="str">
            <v>BackToSchool_23DESocial</v>
          </cell>
          <cell r="B599">
            <v>45187</v>
          </cell>
          <cell r="C599">
            <v>45187</v>
          </cell>
          <cell r="D599" t="str">
            <v>BackToSchool_23</v>
          </cell>
          <cell r="E599" t="str">
            <v>DE</v>
          </cell>
          <cell r="F599" t="str">
            <v>Social</v>
          </cell>
          <cell r="G599">
            <v>12459</v>
          </cell>
          <cell r="H599">
            <v>797171</v>
          </cell>
          <cell r="I599">
            <v>381866</v>
          </cell>
          <cell r="J599">
            <v>378</v>
          </cell>
        </row>
        <row r="600">
          <cell r="A600" t="str">
            <v>BackToSchool_23DEDisplay</v>
          </cell>
          <cell r="B600">
            <v>45187</v>
          </cell>
          <cell r="C600">
            <v>45187</v>
          </cell>
          <cell r="D600" t="str">
            <v>BackToSchool_23</v>
          </cell>
          <cell r="E600" t="str">
            <v>DE</v>
          </cell>
          <cell r="F600" t="str">
            <v>Display</v>
          </cell>
          <cell r="G600">
            <v>7860</v>
          </cell>
          <cell r="H600">
            <v>2322761</v>
          </cell>
          <cell r="I600">
            <v>564457</v>
          </cell>
          <cell r="J600">
            <v>67</v>
          </cell>
        </row>
        <row r="601">
          <cell r="A601" t="str">
            <v>BackToSchool_23DESearch</v>
          </cell>
          <cell r="B601">
            <v>45187</v>
          </cell>
          <cell r="C601">
            <v>45187</v>
          </cell>
          <cell r="D601" t="str">
            <v>BackToSchool_23</v>
          </cell>
          <cell r="E601" t="str">
            <v>DE</v>
          </cell>
          <cell r="F601" t="str">
            <v>Search</v>
          </cell>
          <cell r="G601">
            <v>19671</v>
          </cell>
          <cell r="H601">
            <v>205812</v>
          </cell>
          <cell r="I601">
            <v>172443</v>
          </cell>
          <cell r="J601">
            <v>1526</v>
          </cell>
        </row>
        <row r="602">
          <cell r="A602" t="str">
            <v>BackToSchool_23SAYouTube</v>
          </cell>
          <cell r="B602">
            <v>45187</v>
          </cell>
          <cell r="C602">
            <v>45187</v>
          </cell>
          <cell r="D602" t="str">
            <v>BackToSchool_23</v>
          </cell>
          <cell r="E602" t="str">
            <v>SA</v>
          </cell>
          <cell r="F602" t="str">
            <v>YouTube</v>
          </cell>
          <cell r="G602">
            <v>9064</v>
          </cell>
          <cell r="H602">
            <v>705167</v>
          </cell>
          <cell r="I602">
            <v>241854</v>
          </cell>
          <cell r="J602">
            <v>1147</v>
          </cell>
        </row>
        <row r="603">
          <cell r="A603" t="str">
            <v>BackToSchool_23SASocial</v>
          </cell>
          <cell r="B603">
            <v>45187</v>
          </cell>
          <cell r="C603">
            <v>45187</v>
          </cell>
          <cell r="D603" t="str">
            <v>BackToSchool_23</v>
          </cell>
          <cell r="E603" t="str">
            <v>SA</v>
          </cell>
          <cell r="F603" t="str">
            <v>Social</v>
          </cell>
          <cell r="G603">
            <v>15576</v>
          </cell>
          <cell r="H603">
            <v>1156411</v>
          </cell>
          <cell r="I603">
            <v>529023</v>
          </cell>
          <cell r="J603">
            <v>1960</v>
          </cell>
        </row>
        <row r="604">
          <cell r="A604" t="str">
            <v>BackToSchool_23SADisplay</v>
          </cell>
          <cell r="B604">
            <v>45187</v>
          </cell>
          <cell r="C604">
            <v>45187</v>
          </cell>
          <cell r="D604" t="str">
            <v>BackToSchool_23</v>
          </cell>
          <cell r="E604" t="str">
            <v>SA</v>
          </cell>
          <cell r="F604" t="str">
            <v>Display</v>
          </cell>
          <cell r="G604">
            <v>4828</v>
          </cell>
          <cell r="H604">
            <v>973512</v>
          </cell>
          <cell r="I604">
            <v>195710</v>
          </cell>
          <cell r="J604">
            <v>163</v>
          </cell>
        </row>
        <row r="605">
          <cell r="A605" t="str">
            <v>BackToSchool_23SASearch</v>
          </cell>
          <cell r="B605">
            <v>45187</v>
          </cell>
          <cell r="C605">
            <v>45187</v>
          </cell>
          <cell r="D605" t="str">
            <v>BackToSchool_23</v>
          </cell>
          <cell r="E605" t="str">
            <v>SA</v>
          </cell>
          <cell r="F605" t="str">
            <v>Search</v>
          </cell>
          <cell r="G605">
            <v>8986</v>
          </cell>
          <cell r="H605">
            <v>134026</v>
          </cell>
          <cell r="I605">
            <v>120672</v>
          </cell>
          <cell r="J605">
            <v>2603</v>
          </cell>
        </row>
        <row r="606">
          <cell r="A606" t="str">
            <v>BackToSchool_23EGYouTube</v>
          </cell>
          <cell r="B606">
            <v>45187</v>
          </cell>
          <cell r="C606">
            <v>45187</v>
          </cell>
          <cell r="D606" t="str">
            <v>BackToSchool_23</v>
          </cell>
          <cell r="E606" t="str">
            <v>EG</v>
          </cell>
          <cell r="F606" t="str">
            <v>YouTube</v>
          </cell>
          <cell r="G606">
            <v>13177</v>
          </cell>
          <cell r="H606">
            <v>826183</v>
          </cell>
          <cell r="I606">
            <v>383173</v>
          </cell>
          <cell r="J606">
            <v>1618</v>
          </cell>
        </row>
        <row r="607">
          <cell r="A607" t="str">
            <v>BackToSchool_23EGSocial</v>
          </cell>
          <cell r="B607">
            <v>45187</v>
          </cell>
          <cell r="C607">
            <v>45187</v>
          </cell>
          <cell r="D607" t="str">
            <v>BackToSchool_23</v>
          </cell>
          <cell r="E607" t="str">
            <v>EG</v>
          </cell>
          <cell r="F607" t="str">
            <v>Social</v>
          </cell>
          <cell r="G607">
            <v>13719</v>
          </cell>
          <cell r="H607">
            <v>1069304</v>
          </cell>
          <cell r="I607">
            <v>375435</v>
          </cell>
          <cell r="J607">
            <v>1667</v>
          </cell>
        </row>
        <row r="608">
          <cell r="A608" t="str">
            <v>BackToSchool_23EGDisplay</v>
          </cell>
          <cell r="B608">
            <v>45187</v>
          </cell>
          <cell r="C608">
            <v>45187</v>
          </cell>
          <cell r="D608" t="str">
            <v>BackToSchool_23</v>
          </cell>
          <cell r="E608" t="str">
            <v>EG</v>
          </cell>
          <cell r="F608" t="str">
            <v>Display</v>
          </cell>
          <cell r="G608">
            <v>9508</v>
          </cell>
          <cell r="H608">
            <v>2221944</v>
          </cell>
          <cell r="I608">
            <v>451259</v>
          </cell>
          <cell r="J608">
            <v>301</v>
          </cell>
        </row>
        <row r="609">
          <cell r="A609" t="str">
            <v>BackToSchool_23EGSearch</v>
          </cell>
          <cell r="B609">
            <v>45187</v>
          </cell>
          <cell r="C609">
            <v>45187</v>
          </cell>
          <cell r="D609" t="str">
            <v>BackToSchool_23</v>
          </cell>
          <cell r="E609" t="str">
            <v>EG</v>
          </cell>
          <cell r="F609" t="str">
            <v>Search</v>
          </cell>
          <cell r="G609">
            <v>17676</v>
          </cell>
          <cell r="H609">
            <v>193561</v>
          </cell>
          <cell r="I609">
            <v>168996</v>
          </cell>
          <cell r="J609">
            <v>5806</v>
          </cell>
        </row>
        <row r="610">
          <cell r="A610" t="str">
            <v>BackToSchool_23UKYouTube</v>
          </cell>
          <cell r="B610">
            <v>45194</v>
          </cell>
          <cell r="C610">
            <v>45194</v>
          </cell>
          <cell r="D610" t="str">
            <v>BackToSchool_23</v>
          </cell>
          <cell r="E610" t="str">
            <v>UK</v>
          </cell>
          <cell r="F610" t="str">
            <v>YouTube</v>
          </cell>
          <cell r="G610">
            <v>17232</v>
          </cell>
          <cell r="H610">
            <v>1426082</v>
          </cell>
          <cell r="I610">
            <v>617711</v>
          </cell>
          <cell r="J610">
            <v>525</v>
          </cell>
        </row>
        <row r="611">
          <cell r="A611" t="str">
            <v>BackToSchool_23UKSocial</v>
          </cell>
          <cell r="B611">
            <v>45194</v>
          </cell>
          <cell r="C611">
            <v>45194</v>
          </cell>
          <cell r="D611" t="str">
            <v>BackToSchool_23</v>
          </cell>
          <cell r="E611" t="str">
            <v>UK</v>
          </cell>
          <cell r="F611" t="str">
            <v>Social</v>
          </cell>
          <cell r="G611">
            <v>13869</v>
          </cell>
          <cell r="H611">
            <v>696653</v>
          </cell>
          <cell r="I611">
            <v>282537</v>
          </cell>
          <cell r="J611">
            <v>466</v>
          </cell>
        </row>
        <row r="612">
          <cell r="A612" t="str">
            <v>BackToSchool_23UKDisplay</v>
          </cell>
          <cell r="B612">
            <v>45194</v>
          </cell>
          <cell r="C612">
            <v>45194</v>
          </cell>
          <cell r="D612" t="str">
            <v>BackToSchool_23</v>
          </cell>
          <cell r="E612" t="str">
            <v>UK</v>
          </cell>
          <cell r="F612" t="str">
            <v>Display</v>
          </cell>
          <cell r="G612">
            <v>11206</v>
          </cell>
          <cell r="H612">
            <v>2329725</v>
          </cell>
          <cell r="I612">
            <v>487279</v>
          </cell>
          <cell r="J612">
            <v>90</v>
          </cell>
        </row>
        <row r="613">
          <cell r="A613" t="str">
            <v>BackToSchool_23UKSearch</v>
          </cell>
          <cell r="B613">
            <v>45194</v>
          </cell>
          <cell r="C613">
            <v>45194</v>
          </cell>
          <cell r="D613" t="str">
            <v>BackToSchool_23</v>
          </cell>
          <cell r="E613" t="str">
            <v>UK</v>
          </cell>
          <cell r="F613" t="str">
            <v>Search</v>
          </cell>
          <cell r="G613">
            <v>11968</v>
          </cell>
          <cell r="H613">
            <v>143584</v>
          </cell>
          <cell r="I613">
            <v>129322</v>
          </cell>
          <cell r="J613">
            <v>1045</v>
          </cell>
        </row>
        <row r="614">
          <cell r="A614" t="str">
            <v>BackToSchool_23DEYouTube</v>
          </cell>
          <cell r="B614">
            <v>45194</v>
          </cell>
          <cell r="C614">
            <v>45194</v>
          </cell>
          <cell r="D614" t="str">
            <v>BackToSchool_23</v>
          </cell>
          <cell r="E614" t="str">
            <v>DE</v>
          </cell>
          <cell r="F614" t="str">
            <v>YouTube</v>
          </cell>
          <cell r="G614">
            <v>22394</v>
          </cell>
          <cell r="H614">
            <v>1374611</v>
          </cell>
          <cell r="I614">
            <v>554665</v>
          </cell>
          <cell r="J614">
            <v>737</v>
          </cell>
        </row>
        <row r="615">
          <cell r="A615" t="str">
            <v>BackToSchool_23DESocial</v>
          </cell>
          <cell r="B615">
            <v>45194</v>
          </cell>
          <cell r="C615">
            <v>45194</v>
          </cell>
          <cell r="D615" t="str">
            <v>BackToSchool_23</v>
          </cell>
          <cell r="E615" t="str">
            <v>DE</v>
          </cell>
          <cell r="F615" t="str">
            <v>Social</v>
          </cell>
          <cell r="G615">
            <v>13564</v>
          </cell>
          <cell r="H615">
            <v>923814</v>
          </cell>
          <cell r="I615">
            <v>434085</v>
          </cell>
          <cell r="J615">
            <v>458</v>
          </cell>
        </row>
        <row r="616">
          <cell r="A616" t="str">
            <v>BackToSchool_23DEDisplay</v>
          </cell>
          <cell r="B616">
            <v>45194</v>
          </cell>
          <cell r="C616">
            <v>45194</v>
          </cell>
          <cell r="D616" t="str">
            <v>BackToSchool_23</v>
          </cell>
          <cell r="E616" t="str">
            <v>DE</v>
          </cell>
          <cell r="F616" t="str">
            <v>Display</v>
          </cell>
          <cell r="G616">
            <v>13102</v>
          </cell>
          <cell r="H616">
            <v>2845731</v>
          </cell>
          <cell r="I616">
            <v>622093</v>
          </cell>
          <cell r="J616">
            <v>101</v>
          </cell>
        </row>
        <row r="617">
          <cell r="A617" t="str">
            <v>BackToSchool_23DESearch</v>
          </cell>
          <cell r="B617">
            <v>45194</v>
          </cell>
          <cell r="C617">
            <v>45194</v>
          </cell>
          <cell r="D617" t="str">
            <v>BackToSchool_23</v>
          </cell>
          <cell r="E617" t="str">
            <v>DE</v>
          </cell>
          <cell r="F617" t="str">
            <v>Search</v>
          </cell>
          <cell r="G617">
            <v>15720</v>
          </cell>
          <cell r="H617">
            <v>176930</v>
          </cell>
          <cell r="I617">
            <v>150760</v>
          </cell>
          <cell r="J617">
            <v>1299</v>
          </cell>
        </row>
        <row r="618">
          <cell r="A618" t="str">
            <v>BackToSchool_23SAYouTube</v>
          </cell>
          <cell r="B618">
            <v>45194</v>
          </cell>
          <cell r="C618">
            <v>45194</v>
          </cell>
          <cell r="D618" t="str">
            <v>BackToSchool_23</v>
          </cell>
          <cell r="E618" t="str">
            <v>SA</v>
          </cell>
          <cell r="F618" t="str">
            <v>YouTube</v>
          </cell>
          <cell r="G618">
            <v>14853</v>
          </cell>
          <cell r="H618">
            <v>878663</v>
          </cell>
          <cell r="I618">
            <v>382149</v>
          </cell>
          <cell r="J618">
            <v>1857</v>
          </cell>
        </row>
        <row r="619">
          <cell r="A619" t="str">
            <v>BackToSchool_23SASocial</v>
          </cell>
          <cell r="B619">
            <v>45194</v>
          </cell>
          <cell r="C619">
            <v>45194</v>
          </cell>
          <cell r="D619" t="str">
            <v>BackToSchool_23</v>
          </cell>
          <cell r="E619" t="str">
            <v>SA</v>
          </cell>
          <cell r="F619" t="str">
            <v>Social</v>
          </cell>
          <cell r="G619">
            <v>9579</v>
          </cell>
          <cell r="H619">
            <v>641903</v>
          </cell>
          <cell r="I619">
            <v>218809</v>
          </cell>
          <cell r="J619">
            <v>1106</v>
          </cell>
        </row>
        <row r="620">
          <cell r="A620" t="str">
            <v>BackToSchool_23SADisplay</v>
          </cell>
          <cell r="B620">
            <v>45194</v>
          </cell>
          <cell r="C620">
            <v>45194</v>
          </cell>
          <cell r="D620" t="str">
            <v>BackToSchool_23</v>
          </cell>
          <cell r="E620" t="str">
            <v>SA</v>
          </cell>
          <cell r="F620" t="str">
            <v>Display</v>
          </cell>
          <cell r="G620">
            <v>7047</v>
          </cell>
          <cell r="H620">
            <v>1776090</v>
          </cell>
          <cell r="I620">
            <v>343594</v>
          </cell>
          <cell r="J620">
            <v>241</v>
          </cell>
        </row>
        <row r="621">
          <cell r="A621" t="str">
            <v>BackToSchool_23SASearch</v>
          </cell>
          <cell r="B621">
            <v>45194</v>
          </cell>
          <cell r="C621">
            <v>45194</v>
          </cell>
          <cell r="D621" t="str">
            <v>BackToSchool_23</v>
          </cell>
          <cell r="E621" t="str">
            <v>SA</v>
          </cell>
          <cell r="F621" t="str">
            <v>Search</v>
          </cell>
          <cell r="G621">
            <v>13133</v>
          </cell>
          <cell r="H621">
            <v>165978</v>
          </cell>
          <cell r="I621">
            <v>147987</v>
          </cell>
          <cell r="J621">
            <v>4483</v>
          </cell>
        </row>
        <row r="622">
          <cell r="A622" t="str">
            <v>BackToSchool_23EGYouTube</v>
          </cell>
          <cell r="B622">
            <v>45194</v>
          </cell>
          <cell r="C622">
            <v>45194</v>
          </cell>
          <cell r="D622" t="str">
            <v>BackToSchool_23</v>
          </cell>
          <cell r="E622" t="str">
            <v>EG</v>
          </cell>
          <cell r="F622" t="str">
            <v>YouTube</v>
          </cell>
          <cell r="G622">
            <v>15038</v>
          </cell>
          <cell r="H622">
            <v>1254858</v>
          </cell>
          <cell r="I622">
            <v>581130</v>
          </cell>
          <cell r="J622">
            <v>1844</v>
          </cell>
        </row>
        <row r="623">
          <cell r="A623" t="str">
            <v>BackToSchool_23EGSocial</v>
          </cell>
          <cell r="B623">
            <v>45194</v>
          </cell>
          <cell r="C623">
            <v>45194</v>
          </cell>
          <cell r="D623" t="str">
            <v>BackToSchool_23</v>
          </cell>
          <cell r="E623" t="str">
            <v>EG</v>
          </cell>
          <cell r="F623" t="str">
            <v>Social</v>
          </cell>
          <cell r="G623">
            <v>10573</v>
          </cell>
          <cell r="H623">
            <v>743755</v>
          </cell>
          <cell r="I623">
            <v>270912</v>
          </cell>
          <cell r="J623">
            <v>1414</v>
          </cell>
        </row>
        <row r="624">
          <cell r="A624" t="str">
            <v>BackToSchool_23EGDisplay</v>
          </cell>
          <cell r="B624">
            <v>45194</v>
          </cell>
          <cell r="C624">
            <v>45194</v>
          </cell>
          <cell r="D624" t="str">
            <v>BackToSchool_23</v>
          </cell>
          <cell r="E624" t="str">
            <v>EG</v>
          </cell>
          <cell r="F624" t="str">
            <v>Display</v>
          </cell>
          <cell r="G624">
            <v>10172</v>
          </cell>
          <cell r="H624">
            <v>2272991</v>
          </cell>
          <cell r="I624">
            <v>504939</v>
          </cell>
          <cell r="J624">
            <v>311</v>
          </cell>
        </row>
        <row r="625">
          <cell r="A625" t="str">
            <v>BackToSchool_23EGSearch</v>
          </cell>
          <cell r="B625">
            <v>45194</v>
          </cell>
          <cell r="C625">
            <v>45194</v>
          </cell>
          <cell r="D625" t="str">
            <v>BackToSchool_23</v>
          </cell>
          <cell r="E625" t="str">
            <v>EG</v>
          </cell>
          <cell r="F625" t="str">
            <v>Search</v>
          </cell>
          <cell r="G625">
            <v>12354</v>
          </cell>
          <cell r="H625">
            <v>136600</v>
          </cell>
          <cell r="I625">
            <v>116573</v>
          </cell>
          <cell r="J625">
            <v>3863</v>
          </cell>
        </row>
        <row r="626">
          <cell r="A626" t="str">
            <v>BackToSchool_23UKYouTube</v>
          </cell>
          <cell r="B626">
            <v>45201</v>
          </cell>
          <cell r="C626">
            <v>45201</v>
          </cell>
          <cell r="D626" t="str">
            <v>BackToSchool_23</v>
          </cell>
          <cell r="E626" t="str">
            <v>UK</v>
          </cell>
          <cell r="F626" t="str">
            <v>YouTube</v>
          </cell>
          <cell r="G626">
            <v>17744</v>
          </cell>
          <cell r="H626">
            <v>1150950</v>
          </cell>
          <cell r="I626">
            <v>405398</v>
          </cell>
          <cell r="J626">
            <v>610</v>
          </cell>
        </row>
        <row r="627">
          <cell r="A627" t="str">
            <v>BackToSchool_23UKSocial</v>
          </cell>
          <cell r="B627">
            <v>45201</v>
          </cell>
          <cell r="C627">
            <v>45201</v>
          </cell>
          <cell r="D627" t="str">
            <v>BackToSchool_23</v>
          </cell>
          <cell r="E627" t="str">
            <v>UK</v>
          </cell>
          <cell r="F627" t="str">
            <v>Social</v>
          </cell>
          <cell r="G627">
            <v>22647</v>
          </cell>
          <cell r="H627">
            <v>1214077</v>
          </cell>
          <cell r="I627">
            <v>443879</v>
          </cell>
          <cell r="J627">
            <v>816</v>
          </cell>
        </row>
        <row r="628">
          <cell r="A628" t="str">
            <v>BackToSchool_23UKDisplay</v>
          </cell>
          <cell r="B628">
            <v>45201</v>
          </cell>
          <cell r="C628">
            <v>45201</v>
          </cell>
          <cell r="D628" t="str">
            <v>BackToSchool_23</v>
          </cell>
          <cell r="E628" t="str">
            <v>UK</v>
          </cell>
          <cell r="F628" t="str">
            <v>Display</v>
          </cell>
          <cell r="G628">
            <v>12280</v>
          </cell>
          <cell r="H628">
            <v>3553491</v>
          </cell>
          <cell r="I628">
            <v>815284</v>
          </cell>
          <cell r="J628">
            <v>107</v>
          </cell>
        </row>
        <row r="629">
          <cell r="A629" t="str">
            <v>BackToSchool_23UKSearch</v>
          </cell>
          <cell r="B629">
            <v>45201</v>
          </cell>
          <cell r="C629">
            <v>45201</v>
          </cell>
          <cell r="D629" t="str">
            <v>BackToSchool_23</v>
          </cell>
          <cell r="E629" t="str">
            <v>UK</v>
          </cell>
          <cell r="F629" t="str">
            <v>Search</v>
          </cell>
          <cell r="G629">
            <v>20731</v>
          </cell>
          <cell r="H629">
            <v>230976</v>
          </cell>
          <cell r="I629">
            <v>202479</v>
          </cell>
          <cell r="J629">
            <v>1709</v>
          </cell>
        </row>
        <row r="630">
          <cell r="A630" t="str">
            <v>BackToSchool_23DEYouTube</v>
          </cell>
          <cell r="B630">
            <v>45201</v>
          </cell>
          <cell r="C630">
            <v>45201</v>
          </cell>
          <cell r="D630" t="str">
            <v>BackToSchool_23</v>
          </cell>
          <cell r="E630" t="str">
            <v>DE</v>
          </cell>
          <cell r="F630" t="str">
            <v>YouTube</v>
          </cell>
          <cell r="G630">
            <v>19263</v>
          </cell>
          <cell r="H630">
            <v>1484350</v>
          </cell>
          <cell r="I630">
            <v>593076</v>
          </cell>
          <cell r="J630">
            <v>605</v>
          </cell>
        </row>
        <row r="631">
          <cell r="A631" t="str">
            <v>BackToSchool_23DESocial</v>
          </cell>
          <cell r="B631">
            <v>45201</v>
          </cell>
          <cell r="C631">
            <v>45201</v>
          </cell>
          <cell r="D631" t="str">
            <v>BackToSchool_23</v>
          </cell>
          <cell r="E631" t="str">
            <v>DE</v>
          </cell>
          <cell r="F631" t="str">
            <v>Social</v>
          </cell>
          <cell r="G631">
            <v>20340</v>
          </cell>
          <cell r="H631">
            <v>1110787</v>
          </cell>
          <cell r="I631">
            <v>493806</v>
          </cell>
          <cell r="J631">
            <v>747</v>
          </cell>
        </row>
        <row r="632">
          <cell r="A632" t="str">
            <v>BackToSchool_23DEDisplay</v>
          </cell>
          <cell r="B632">
            <v>45201</v>
          </cell>
          <cell r="C632">
            <v>45201</v>
          </cell>
          <cell r="D632" t="str">
            <v>BackToSchool_23</v>
          </cell>
          <cell r="E632" t="str">
            <v>DE</v>
          </cell>
          <cell r="F632" t="str">
            <v>Display</v>
          </cell>
          <cell r="G632">
            <v>6844</v>
          </cell>
          <cell r="H632">
            <v>1964093</v>
          </cell>
          <cell r="I632">
            <v>389258</v>
          </cell>
          <cell r="J632">
            <v>62</v>
          </cell>
        </row>
        <row r="633">
          <cell r="A633" t="str">
            <v>BackToSchool_23DESearch</v>
          </cell>
          <cell r="B633">
            <v>45201</v>
          </cell>
          <cell r="C633">
            <v>45201</v>
          </cell>
          <cell r="D633" t="str">
            <v>BackToSchool_23</v>
          </cell>
          <cell r="E633" t="str">
            <v>DE</v>
          </cell>
          <cell r="F633" t="str">
            <v>Search</v>
          </cell>
          <cell r="G633">
            <v>25524</v>
          </cell>
          <cell r="H633">
            <v>374820</v>
          </cell>
          <cell r="I633">
            <v>326413</v>
          </cell>
          <cell r="J633">
            <v>2275</v>
          </cell>
        </row>
        <row r="634">
          <cell r="A634" t="str">
            <v>BackToSchool_23SAYouTube</v>
          </cell>
          <cell r="B634">
            <v>45201</v>
          </cell>
          <cell r="C634">
            <v>45201</v>
          </cell>
          <cell r="D634" t="str">
            <v>BackToSchool_23</v>
          </cell>
          <cell r="E634" t="str">
            <v>SA</v>
          </cell>
          <cell r="F634" t="str">
            <v>YouTube</v>
          </cell>
          <cell r="G634">
            <v>10617</v>
          </cell>
          <cell r="H634">
            <v>805095</v>
          </cell>
          <cell r="I634">
            <v>283289</v>
          </cell>
          <cell r="J634">
            <v>1234</v>
          </cell>
        </row>
        <row r="635">
          <cell r="A635" t="str">
            <v>BackToSchool_23SASocial</v>
          </cell>
          <cell r="B635">
            <v>45201</v>
          </cell>
          <cell r="C635">
            <v>45201</v>
          </cell>
          <cell r="D635" t="str">
            <v>BackToSchool_23</v>
          </cell>
          <cell r="E635" t="str">
            <v>SA</v>
          </cell>
          <cell r="F635" t="str">
            <v>Social</v>
          </cell>
          <cell r="G635">
            <v>8938</v>
          </cell>
          <cell r="H635">
            <v>478391</v>
          </cell>
          <cell r="I635">
            <v>220844</v>
          </cell>
          <cell r="J635">
            <v>1093</v>
          </cell>
        </row>
        <row r="636">
          <cell r="A636" t="str">
            <v>BackToSchool_23SADisplay</v>
          </cell>
          <cell r="B636">
            <v>45201</v>
          </cell>
          <cell r="C636">
            <v>45201</v>
          </cell>
          <cell r="D636" t="str">
            <v>BackToSchool_23</v>
          </cell>
          <cell r="E636" t="str">
            <v>SA</v>
          </cell>
          <cell r="F636" t="str">
            <v>Display</v>
          </cell>
          <cell r="G636">
            <v>4540</v>
          </cell>
          <cell r="H636">
            <v>1125054</v>
          </cell>
          <cell r="I636">
            <v>208866</v>
          </cell>
          <cell r="J636">
            <v>149</v>
          </cell>
        </row>
        <row r="637">
          <cell r="A637" t="str">
            <v>BackToSchool_23SASearch</v>
          </cell>
          <cell r="B637">
            <v>45201</v>
          </cell>
          <cell r="C637">
            <v>45201</v>
          </cell>
          <cell r="D637" t="str">
            <v>BackToSchool_23</v>
          </cell>
          <cell r="E637" t="str">
            <v>SA</v>
          </cell>
          <cell r="F637" t="str">
            <v>Search</v>
          </cell>
          <cell r="G637">
            <v>12313</v>
          </cell>
          <cell r="H637">
            <v>129843</v>
          </cell>
          <cell r="I637">
            <v>111093</v>
          </cell>
          <cell r="J637">
            <v>3726</v>
          </cell>
        </row>
        <row r="638">
          <cell r="A638" t="str">
            <v>BackToSchool_23EGYouTube</v>
          </cell>
          <cell r="B638">
            <v>45201</v>
          </cell>
          <cell r="C638">
            <v>45201</v>
          </cell>
          <cell r="D638" t="str">
            <v>BackToSchool_23</v>
          </cell>
          <cell r="E638" t="str">
            <v>EG</v>
          </cell>
          <cell r="F638" t="str">
            <v>YouTube</v>
          </cell>
          <cell r="G638">
            <v>15596</v>
          </cell>
          <cell r="H638">
            <v>823216</v>
          </cell>
          <cell r="I638">
            <v>402441</v>
          </cell>
          <cell r="J638">
            <v>2092</v>
          </cell>
        </row>
        <row r="639">
          <cell r="A639" t="str">
            <v>BackToSchool_23EGSocial</v>
          </cell>
          <cell r="B639">
            <v>45201</v>
          </cell>
          <cell r="C639">
            <v>45201</v>
          </cell>
          <cell r="D639" t="str">
            <v>BackToSchool_23</v>
          </cell>
          <cell r="E639" t="str">
            <v>EG</v>
          </cell>
          <cell r="F639" t="str">
            <v>Social</v>
          </cell>
          <cell r="G639">
            <v>15303</v>
          </cell>
          <cell r="H639">
            <v>1027167</v>
          </cell>
          <cell r="I639">
            <v>398180</v>
          </cell>
          <cell r="J639">
            <v>1927</v>
          </cell>
        </row>
        <row r="640">
          <cell r="A640" t="str">
            <v>BackToSchool_23EGDisplay</v>
          </cell>
          <cell r="B640">
            <v>45201</v>
          </cell>
          <cell r="C640">
            <v>45201</v>
          </cell>
          <cell r="D640" t="str">
            <v>BackToSchool_23</v>
          </cell>
          <cell r="E640" t="str">
            <v>EG</v>
          </cell>
          <cell r="F640" t="str">
            <v>Display</v>
          </cell>
          <cell r="G640">
            <v>10610</v>
          </cell>
          <cell r="H640">
            <v>2388655</v>
          </cell>
          <cell r="I640">
            <v>412502</v>
          </cell>
          <cell r="J640">
            <v>323</v>
          </cell>
        </row>
        <row r="641">
          <cell r="A641" t="str">
            <v>BackToSchool_23EGSearch</v>
          </cell>
          <cell r="B641">
            <v>45201</v>
          </cell>
          <cell r="C641">
            <v>45201</v>
          </cell>
          <cell r="D641" t="str">
            <v>BackToSchool_23</v>
          </cell>
          <cell r="E641" t="str">
            <v>EG</v>
          </cell>
          <cell r="F641" t="str">
            <v>Search</v>
          </cell>
          <cell r="G641">
            <v>15314</v>
          </cell>
          <cell r="H641">
            <v>181585</v>
          </cell>
          <cell r="I641">
            <v>163166</v>
          </cell>
          <cell r="J641">
            <v>5077</v>
          </cell>
        </row>
        <row r="642">
          <cell r="A642" t="str">
            <v>Always_OnUKYouTube</v>
          </cell>
          <cell r="B642">
            <v>45208</v>
          </cell>
          <cell r="C642">
            <v>45208</v>
          </cell>
          <cell r="D642" t="str">
            <v>Always_On</v>
          </cell>
          <cell r="E642" t="str">
            <v>UK</v>
          </cell>
          <cell r="F642" t="str">
            <v>YouTube</v>
          </cell>
          <cell r="G642">
            <v>6064</v>
          </cell>
          <cell r="H642">
            <v>420288</v>
          </cell>
          <cell r="I642">
            <v>154595</v>
          </cell>
          <cell r="J642">
            <v>187</v>
          </cell>
        </row>
        <row r="643">
          <cell r="A643" t="str">
            <v>Always_OnUKSocial</v>
          </cell>
          <cell r="B643">
            <v>45208</v>
          </cell>
          <cell r="C643">
            <v>45208</v>
          </cell>
          <cell r="D643" t="str">
            <v>Always_On</v>
          </cell>
          <cell r="E643" t="str">
            <v>UK</v>
          </cell>
          <cell r="F643" t="str">
            <v>Social</v>
          </cell>
          <cell r="G643">
            <v>3228</v>
          </cell>
          <cell r="H643">
            <v>270943</v>
          </cell>
          <cell r="I643">
            <v>111972</v>
          </cell>
          <cell r="J643">
            <v>119</v>
          </cell>
        </row>
        <row r="644">
          <cell r="A644" t="str">
            <v>Always_OnUKDisplay</v>
          </cell>
          <cell r="B644">
            <v>45208</v>
          </cell>
          <cell r="C644">
            <v>45208</v>
          </cell>
          <cell r="D644" t="str">
            <v>Always_On</v>
          </cell>
          <cell r="E644" t="str">
            <v>UK</v>
          </cell>
          <cell r="F644" t="str">
            <v>Display</v>
          </cell>
          <cell r="G644">
            <v>2468</v>
          </cell>
          <cell r="H644">
            <v>634716</v>
          </cell>
          <cell r="I644">
            <v>114784</v>
          </cell>
          <cell r="J644">
            <v>19</v>
          </cell>
        </row>
        <row r="645">
          <cell r="A645" t="str">
            <v>Always_OnUKSearch</v>
          </cell>
          <cell r="B645">
            <v>45208</v>
          </cell>
          <cell r="C645">
            <v>45208</v>
          </cell>
          <cell r="D645" t="str">
            <v>Always_On</v>
          </cell>
          <cell r="E645" t="str">
            <v>UK</v>
          </cell>
          <cell r="F645" t="str">
            <v>Search</v>
          </cell>
          <cell r="G645">
            <v>3741</v>
          </cell>
          <cell r="H645">
            <v>53455</v>
          </cell>
          <cell r="I645">
            <v>45207</v>
          </cell>
          <cell r="J645">
            <v>315</v>
          </cell>
        </row>
        <row r="646">
          <cell r="A646" t="str">
            <v>Always_OnDEYouTube</v>
          </cell>
          <cell r="B646">
            <v>45208</v>
          </cell>
          <cell r="C646">
            <v>45208</v>
          </cell>
          <cell r="D646" t="str">
            <v>Always_On</v>
          </cell>
          <cell r="E646" t="str">
            <v>DE</v>
          </cell>
          <cell r="F646" t="str">
            <v>YouTube</v>
          </cell>
          <cell r="G646">
            <v>3875</v>
          </cell>
          <cell r="H646">
            <v>303351</v>
          </cell>
          <cell r="I646">
            <v>102121</v>
          </cell>
          <cell r="J646">
            <v>141</v>
          </cell>
        </row>
        <row r="647">
          <cell r="A647" t="str">
            <v>Always_OnDESocial</v>
          </cell>
          <cell r="B647">
            <v>45208</v>
          </cell>
          <cell r="C647">
            <v>45208</v>
          </cell>
          <cell r="D647" t="str">
            <v>Always_On</v>
          </cell>
          <cell r="E647" t="str">
            <v>DE</v>
          </cell>
          <cell r="F647" t="str">
            <v>Social</v>
          </cell>
          <cell r="G647">
            <v>5716</v>
          </cell>
          <cell r="H647">
            <v>412808</v>
          </cell>
          <cell r="I647">
            <v>158310</v>
          </cell>
          <cell r="J647">
            <v>189</v>
          </cell>
        </row>
        <row r="648">
          <cell r="A648" t="str">
            <v>Always_OnDEDisplay</v>
          </cell>
          <cell r="B648">
            <v>45208</v>
          </cell>
          <cell r="C648">
            <v>45208</v>
          </cell>
          <cell r="D648" t="str">
            <v>Always_On</v>
          </cell>
          <cell r="E648" t="str">
            <v>DE</v>
          </cell>
          <cell r="F648" t="str">
            <v>Display</v>
          </cell>
          <cell r="G648">
            <v>2321</v>
          </cell>
          <cell r="H648">
            <v>600822</v>
          </cell>
          <cell r="I648">
            <v>107733</v>
          </cell>
          <cell r="J648">
            <v>19</v>
          </cell>
        </row>
        <row r="649">
          <cell r="A649" t="str">
            <v>Always_OnDESearch</v>
          </cell>
          <cell r="B649">
            <v>45208</v>
          </cell>
          <cell r="C649">
            <v>45208</v>
          </cell>
          <cell r="D649" t="str">
            <v>Always_On</v>
          </cell>
          <cell r="E649" t="str">
            <v>DE</v>
          </cell>
          <cell r="F649" t="str">
            <v>Search</v>
          </cell>
          <cell r="G649">
            <v>3751</v>
          </cell>
          <cell r="H649">
            <v>51044</v>
          </cell>
          <cell r="I649">
            <v>45334</v>
          </cell>
          <cell r="J649">
            <v>303</v>
          </cell>
        </row>
        <row r="650">
          <cell r="A650" t="str">
            <v>Always_OnSAYouTube</v>
          </cell>
          <cell r="B650">
            <v>45208</v>
          </cell>
          <cell r="C650">
            <v>45208</v>
          </cell>
          <cell r="D650" t="str">
            <v>Always_On</v>
          </cell>
          <cell r="E650" t="str">
            <v>SA</v>
          </cell>
          <cell r="F650" t="str">
            <v>YouTube</v>
          </cell>
          <cell r="G650">
            <v>3103</v>
          </cell>
          <cell r="H650">
            <v>168028</v>
          </cell>
          <cell r="I650">
            <v>66351</v>
          </cell>
          <cell r="J650">
            <v>368</v>
          </cell>
        </row>
        <row r="651">
          <cell r="A651" t="str">
            <v>Always_OnSASocial</v>
          </cell>
          <cell r="B651">
            <v>45208</v>
          </cell>
          <cell r="C651">
            <v>45208</v>
          </cell>
          <cell r="D651" t="str">
            <v>Always_On</v>
          </cell>
          <cell r="E651" t="str">
            <v>SA</v>
          </cell>
          <cell r="F651" t="str">
            <v>Social</v>
          </cell>
          <cell r="G651">
            <v>3586</v>
          </cell>
          <cell r="H651">
            <v>204206</v>
          </cell>
          <cell r="I651">
            <v>88566</v>
          </cell>
          <cell r="J651">
            <v>480</v>
          </cell>
        </row>
        <row r="652">
          <cell r="A652" t="str">
            <v>Always_OnSADisplay</v>
          </cell>
          <cell r="B652">
            <v>45208</v>
          </cell>
          <cell r="C652">
            <v>45208</v>
          </cell>
          <cell r="D652" t="str">
            <v>Always_On</v>
          </cell>
          <cell r="E652" t="str">
            <v>SA</v>
          </cell>
          <cell r="F652" t="str">
            <v>Display</v>
          </cell>
          <cell r="G652">
            <v>2529</v>
          </cell>
          <cell r="H652">
            <v>654704</v>
          </cell>
          <cell r="I652">
            <v>139504</v>
          </cell>
          <cell r="J652">
            <v>84</v>
          </cell>
        </row>
        <row r="653">
          <cell r="A653" t="str">
            <v>Always_OnSASearch</v>
          </cell>
          <cell r="B653">
            <v>45208</v>
          </cell>
          <cell r="C653">
            <v>45208</v>
          </cell>
          <cell r="D653" t="str">
            <v>Always_On</v>
          </cell>
          <cell r="E653" t="str">
            <v>SA</v>
          </cell>
          <cell r="F653" t="str">
            <v>Search</v>
          </cell>
          <cell r="G653">
            <v>3249</v>
          </cell>
          <cell r="H653">
            <v>44994</v>
          </cell>
          <cell r="I653">
            <v>38794</v>
          </cell>
          <cell r="J653">
            <v>1010</v>
          </cell>
        </row>
        <row r="654">
          <cell r="A654" t="str">
            <v>Always_OnEGYouTube</v>
          </cell>
          <cell r="B654">
            <v>45208</v>
          </cell>
          <cell r="C654">
            <v>45208</v>
          </cell>
          <cell r="D654" t="str">
            <v>Always_On</v>
          </cell>
          <cell r="E654" t="str">
            <v>EG</v>
          </cell>
          <cell r="F654" t="str">
            <v>YouTube</v>
          </cell>
          <cell r="G654">
            <v>3313</v>
          </cell>
          <cell r="H654">
            <v>233440</v>
          </cell>
          <cell r="I654">
            <v>95602</v>
          </cell>
          <cell r="J654">
            <v>411</v>
          </cell>
        </row>
        <row r="655">
          <cell r="A655" t="str">
            <v>Always_OnEGSocial</v>
          </cell>
          <cell r="B655">
            <v>45208</v>
          </cell>
          <cell r="C655">
            <v>45208</v>
          </cell>
          <cell r="D655" t="str">
            <v>Always_On</v>
          </cell>
          <cell r="E655" t="str">
            <v>EG</v>
          </cell>
          <cell r="F655" t="str">
            <v>Social</v>
          </cell>
          <cell r="G655">
            <v>5113</v>
          </cell>
          <cell r="H655">
            <v>395763</v>
          </cell>
          <cell r="I655">
            <v>189573</v>
          </cell>
          <cell r="J655">
            <v>678</v>
          </cell>
        </row>
        <row r="656">
          <cell r="A656" t="str">
            <v>Always_OnEGDisplay</v>
          </cell>
          <cell r="B656">
            <v>45208</v>
          </cell>
          <cell r="C656">
            <v>45208</v>
          </cell>
          <cell r="D656" t="str">
            <v>Always_On</v>
          </cell>
          <cell r="E656" t="str">
            <v>EG</v>
          </cell>
          <cell r="F656" t="str">
            <v>Display</v>
          </cell>
          <cell r="G656">
            <v>3091</v>
          </cell>
          <cell r="H656">
            <v>643294</v>
          </cell>
          <cell r="I656">
            <v>113852</v>
          </cell>
          <cell r="J656">
            <v>102</v>
          </cell>
        </row>
        <row r="657">
          <cell r="A657" t="str">
            <v>Always_OnEGSearch</v>
          </cell>
          <cell r="B657">
            <v>45208</v>
          </cell>
          <cell r="C657">
            <v>45208</v>
          </cell>
          <cell r="D657" t="str">
            <v>Always_On</v>
          </cell>
          <cell r="E657" t="str">
            <v>EG</v>
          </cell>
          <cell r="F657" t="str">
            <v>Search</v>
          </cell>
          <cell r="G657">
            <v>3978</v>
          </cell>
          <cell r="H657">
            <v>49104</v>
          </cell>
          <cell r="I657">
            <v>43585</v>
          </cell>
          <cell r="J657">
            <v>1180</v>
          </cell>
        </row>
        <row r="658">
          <cell r="A658" t="str">
            <v>Always_OnUKYouTube</v>
          </cell>
          <cell r="B658">
            <v>45215</v>
          </cell>
          <cell r="C658">
            <v>45215</v>
          </cell>
          <cell r="D658" t="str">
            <v>Always_On</v>
          </cell>
          <cell r="E658" t="str">
            <v>UK</v>
          </cell>
          <cell r="F658" t="str">
            <v>YouTube</v>
          </cell>
          <cell r="G658">
            <v>6097</v>
          </cell>
          <cell r="H658">
            <v>421079</v>
          </cell>
          <cell r="I658">
            <v>149555</v>
          </cell>
          <cell r="J658">
            <v>194</v>
          </cell>
        </row>
        <row r="659">
          <cell r="A659" t="str">
            <v>Always_OnUKSocial</v>
          </cell>
          <cell r="B659">
            <v>45215</v>
          </cell>
          <cell r="C659">
            <v>45215</v>
          </cell>
          <cell r="D659" t="str">
            <v>Always_On</v>
          </cell>
          <cell r="E659" t="str">
            <v>UK</v>
          </cell>
          <cell r="F659" t="str">
            <v>Social</v>
          </cell>
          <cell r="G659">
            <v>6136</v>
          </cell>
          <cell r="H659">
            <v>380288</v>
          </cell>
          <cell r="I659">
            <v>130194</v>
          </cell>
          <cell r="J659">
            <v>187</v>
          </cell>
        </row>
        <row r="660">
          <cell r="A660" t="str">
            <v>Always_OnUKDisplay</v>
          </cell>
          <cell r="B660">
            <v>45215</v>
          </cell>
          <cell r="C660">
            <v>45215</v>
          </cell>
          <cell r="D660" t="str">
            <v>Always_On</v>
          </cell>
          <cell r="E660" t="str">
            <v>UK</v>
          </cell>
          <cell r="F660" t="str">
            <v>Display</v>
          </cell>
          <cell r="G660">
            <v>3619</v>
          </cell>
          <cell r="H660">
            <v>1028407</v>
          </cell>
          <cell r="I660">
            <v>185834</v>
          </cell>
          <cell r="J660">
            <v>27</v>
          </cell>
        </row>
        <row r="661">
          <cell r="A661" t="str">
            <v>Always_OnUKSearch</v>
          </cell>
          <cell r="B661">
            <v>45215</v>
          </cell>
          <cell r="C661">
            <v>45215</v>
          </cell>
          <cell r="D661" t="str">
            <v>Always_On</v>
          </cell>
          <cell r="E661" t="str">
            <v>UK</v>
          </cell>
          <cell r="F661" t="str">
            <v>Search</v>
          </cell>
          <cell r="G661">
            <v>6269</v>
          </cell>
          <cell r="H661">
            <v>64167</v>
          </cell>
          <cell r="I661">
            <v>55952</v>
          </cell>
          <cell r="J661">
            <v>486</v>
          </cell>
        </row>
        <row r="662">
          <cell r="A662" t="str">
            <v>Always_OnDEYouTube</v>
          </cell>
          <cell r="B662">
            <v>45215</v>
          </cell>
          <cell r="C662">
            <v>45215</v>
          </cell>
          <cell r="D662" t="str">
            <v>Always_On</v>
          </cell>
          <cell r="E662" t="str">
            <v>DE</v>
          </cell>
          <cell r="F662" t="str">
            <v>YouTube</v>
          </cell>
          <cell r="G662">
            <v>7497</v>
          </cell>
          <cell r="H662">
            <v>586175</v>
          </cell>
          <cell r="I662">
            <v>273239</v>
          </cell>
          <cell r="J662">
            <v>233</v>
          </cell>
        </row>
        <row r="663">
          <cell r="A663" t="str">
            <v>Always_OnDESocial</v>
          </cell>
          <cell r="B663">
            <v>45215</v>
          </cell>
          <cell r="C663">
            <v>45215</v>
          </cell>
          <cell r="D663" t="str">
            <v>Always_On</v>
          </cell>
          <cell r="E663" t="str">
            <v>DE</v>
          </cell>
          <cell r="F663" t="str">
            <v>Social</v>
          </cell>
          <cell r="G663">
            <v>6509</v>
          </cell>
          <cell r="H663">
            <v>373164</v>
          </cell>
          <cell r="I663">
            <v>157609</v>
          </cell>
          <cell r="J663">
            <v>215</v>
          </cell>
        </row>
        <row r="664">
          <cell r="A664" t="str">
            <v>Always_OnDEDisplay</v>
          </cell>
          <cell r="B664">
            <v>45215</v>
          </cell>
          <cell r="C664">
            <v>45215</v>
          </cell>
          <cell r="D664" t="str">
            <v>Always_On</v>
          </cell>
          <cell r="E664" t="str">
            <v>DE</v>
          </cell>
          <cell r="F664" t="str">
            <v>Display</v>
          </cell>
          <cell r="G664">
            <v>3362</v>
          </cell>
          <cell r="H664">
            <v>939695</v>
          </cell>
          <cell r="I664">
            <v>176635</v>
          </cell>
          <cell r="J664">
            <v>28</v>
          </cell>
        </row>
        <row r="665">
          <cell r="A665" t="str">
            <v>Always_OnDESearch</v>
          </cell>
          <cell r="B665">
            <v>45215</v>
          </cell>
          <cell r="C665">
            <v>45215</v>
          </cell>
          <cell r="D665" t="str">
            <v>Always_On</v>
          </cell>
          <cell r="E665" t="str">
            <v>DE</v>
          </cell>
          <cell r="F665" t="str">
            <v>Search</v>
          </cell>
          <cell r="G665">
            <v>7037</v>
          </cell>
          <cell r="H665">
            <v>72137</v>
          </cell>
          <cell r="I665">
            <v>62197</v>
          </cell>
          <cell r="J665">
            <v>589</v>
          </cell>
        </row>
        <row r="666">
          <cell r="A666" t="str">
            <v>Always_OnSAYouTube</v>
          </cell>
          <cell r="B666">
            <v>45215</v>
          </cell>
          <cell r="C666">
            <v>45215</v>
          </cell>
          <cell r="D666" t="str">
            <v>Always_On</v>
          </cell>
          <cell r="E666" t="str">
            <v>SA</v>
          </cell>
          <cell r="F666" t="str">
            <v>YouTube</v>
          </cell>
          <cell r="G666">
            <v>3805</v>
          </cell>
          <cell r="H666">
            <v>331918</v>
          </cell>
          <cell r="I666">
            <v>132408</v>
          </cell>
          <cell r="J666">
            <v>520</v>
          </cell>
        </row>
        <row r="667">
          <cell r="A667" t="str">
            <v>Always_OnSASocial</v>
          </cell>
          <cell r="B667">
            <v>45215</v>
          </cell>
          <cell r="C667">
            <v>45215</v>
          </cell>
          <cell r="D667" t="str">
            <v>Always_On</v>
          </cell>
          <cell r="E667" t="str">
            <v>SA</v>
          </cell>
          <cell r="F667" t="str">
            <v>Social</v>
          </cell>
          <cell r="G667">
            <v>2252</v>
          </cell>
          <cell r="H667">
            <v>179230</v>
          </cell>
          <cell r="I667">
            <v>59869</v>
          </cell>
          <cell r="J667">
            <v>286</v>
          </cell>
        </row>
        <row r="668">
          <cell r="A668" t="str">
            <v>Always_OnSADisplay</v>
          </cell>
          <cell r="B668">
            <v>45215</v>
          </cell>
          <cell r="C668">
            <v>45215</v>
          </cell>
          <cell r="D668" t="str">
            <v>Always_On</v>
          </cell>
          <cell r="E668" t="str">
            <v>SA</v>
          </cell>
          <cell r="F668" t="str">
            <v>Display</v>
          </cell>
          <cell r="G668">
            <v>1814</v>
          </cell>
          <cell r="H668">
            <v>515465</v>
          </cell>
          <cell r="I668">
            <v>89563</v>
          </cell>
          <cell r="J668">
            <v>61</v>
          </cell>
        </row>
        <row r="669">
          <cell r="A669" t="str">
            <v>Always_OnSASearch</v>
          </cell>
          <cell r="B669">
            <v>45215</v>
          </cell>
          <cell r="C669">
            <v>45215</v>
          </cell>
          <cell r="D669" t="str">
            <v>Always_On</v>
          </cell>
          <cell r="E669" t="str">
            <v>SA</v>
          </cell>
          <cell r="F669" t="str">
            <v>Search</v>
          </cell>
          <cell r="G669">
            <v>3106</v>
          </cell>
          <cell r="H669">
            <v>41381</v>
          </cell>
          <cell r="I669">
            <v>35747</v>
          </cell>
          <cell r="J669">
            <v>913</v>
          </cell>
        </row>
        <row r="670">
          <cell r="A670" t="str">
            <v>Always_OnEGYouTube</v>
          </cell>
          <cell r="B670">
            <v>45215</v>
          </cell>
          <cell r="C670">
            <v>45215</v>
          </cell>
          <cell r="D670" t="str">
            <v>Always_On</v>
          </cell>
          <cell r="E670" t="str">
            <v>EG</v>
          </cell>
          <cell r="F670" t="str">
            <v>YouTube</v>
          </cell>
          <cell r="G670">
            <v>4780</v>
          </cell>
          <cell r="H670">
            <v>276823</v>
          </cell>
          <cell r="I670">
            <v>96371</v>
          </cell>
          <cell r="J670">
            <v>547</v>
          </cell>
        </row>
        <row r="671">
          <cell r="A671" t="str">
            <v>Always_OnEGSocial</v>
          </cell>
          <cell r="B671">
            <v>45215</v>
          </cell>
          <cell r="C671">
            <v>45215</v>
          </cell>
          <cell r="D671" t="str">
            <v>Always_On</v>
          </cell>
          <cell r="E671" t="str">
            <v>EG</v>
          </cell>
          <cell r="F671" t="str">
            <v>Social</v>
          </cell>
          <cell r="G671">
            <v>2611</v>
          </cell>
          <cell r="H671">
            <v>179806</v>
          </cell>
          <cell r="I671">
            <v>71072</v>
          </cell>
          <cell r="J671">
            <v>309</v>
          </cell>
        </row>
        <row r="672">
          <cell r="A672" t="str">
            <v>Always_OnEGDisplay</v>
          </cell>
          <cell r="B672">
            <v>45215</v>
          </cell>
          <cell r="C672">
            <v>45215</v>
          </cell>
          <cell r="D672" t="str">
            <v>Always_On</v>
          </cell>
          <cell r="E672" t="str">
            <v>EG</v>
          </cell>
          <cell r="F672" t="str">
            <v>Display</v>
          </cell>
          <cell r="G672">
            <v>1513</v>
          </cell>
          <cell r="H672">
            <v>351074</v>
          </cell>
          <cell r="I672">
            <v>81989</v>
          </cell>
          <cell r="J672">
            <v>47</v>
          </cell>
        </row>
        <row r="673">
          <cell r="A673" t="str">
            <v>Always_OnEGSearch</v>
          </cell>
          <cell r="B673">
            <v>45215</v>
          </cell>
          <cell r="C673">
            <v>45215</v>
          </cell>
          <cell r="D673" t="str">
            <v>Always_On</v>
          </cell>
          <cell r="E673" t="str">
            <v>EG</v>
          </cell>
          <cell r="F673" t="str">
            <v>Search</v>
          </cell>
          <cell r="G673">
            <v>5265</v>
          </cell>
          <cell r="H673">
            <v>69369</v>
          </cell>
          <cell r="I673">
            <v>60636</v>
          </cell>
          <cell r="J673">
            <v>1646</v>
          </cell>
        </row>
        <row r="674">
          <cell r="A674" t="str">
            <v>Always_OnUKYouTube</v>
          </cell>
          <cell r="B674">
            <v>45222</v>
          </cell>
          <cell r="C674">
            <v>45222</v>
          </cell>
          <cell r="D674" t="str">
            <v>Always_On</v>
          </cell>
          <cell r="E674" t="str">
            <v>UK</v>
          </cell>
          <cell r="F674" t="str">
            <v>YouTube</v>
          </cell>
          <cell r="G674">
            <v>4761</v>
          </cell>
          <cell r="H674">
            <v>287322</v>
          </cell>
          <cell r="I674">
            <v>126825</v>
          </cell>
          <cell r="J674">
            <v>156</v>
          </cell>
        </row>
        <row r="675">
          <cell r="A675" t="str">
            <v>Always_OnUKSocial</v>
          </cell>
          <cell r="B675">
            <v>45222</v>
          </cell>
          <cell r="C675">
            <v>45222</v>
          </cell>
          <cell r="D675" t="str">
            <v>Always_On</v>
          </cell>
          <cell r="E675" t="str">
            <v>UK</v>
          </cell>
          <cell r="F675" t="str">
            <v>Social</v>
          </cell>
          <cell r="G675">
            <v>6553</v>
          </cell>
          <cell r="H675">
            <v>440272</v>
          </cell>
          <cell r="I675">
            <v>152124</v>
          </cell>
          <cell r="J675">
            <v>218</v>
          </cell>
        </row>
        <row r="676">
          <cell r="A676" t="str">
            <v>Always_OnUKDisplay</v>
          </cell>
          <cell r="B676">
            <v>45222</v>
          </cell>
          <cell r="C676">
            <v>45222</v>
          </cell>
          <cell r="D676" t="str">
            <v>Always_On</v>
          </cell>
          <cell r="E676" t="str">
            <v>UK</v>
          </cell>
          <cell r="F676" t="str">
            <v>Display</v>
          </cell>
          <cell r="G676">
            <v>3843</v>
          </cell>
          <cell r="H676">
            <v>926181</v>
          </cell>
          <cell r="I676">
            <v>195411</v>
          </cell>
          <cell r="J676">
            <v>31</v>
          </cell>
        </row>
        <row r="677">
          <cell r="A677" t="str">
            <v>Always_OnUKSearch</v>
          </cell>
          <cell r="B677">
            <v>45222</v>
          </cell>
          <cell r="C677">
            <v>45222</v>
          </cell>
          <cell r="D677" t="str">
            <v>Always_On</v>
          </cell>
          <cell r="E677" t="str">
            <v>UK</v>
          </cell>
          <cell r="F677" t="str">
            <v>Search</v>
          </cell>
          <cell r="G677">
            <v>4579</v>
          </cell>
          <cell r="H677">
            <v>50449</v>
          </cell>
          <cell r="I677">
            <v>42305</v>
          </cell>
          <cell r="J677">
            <v>365</v>
          </cell>
        </row>
        <row r="678">
          <cell r="A678" t="str">
            <v>Always_OnDEYouTube</v>
          </cell>
          <cell r="B678">
            <v>45222</v>
          </cell>
          <cell r="C678">
            <v>45222</v>
          </cell>
          <cell r="D678" t="str">
            <v>Always_On</v>
          </cell>
          <cell r="E678" t="str">
            <v>DE</v>
          </cell>
          <cell r="F678" t="str">
            <v>YouTube</v>
          </cell>
          <cell r="G678">
            <v>4265</v>
          </cell>
          <cell r="H678">
            <v>278440</v>
          </cell>
          <cell r="I678">
            <v>137407</v>
          </cell>
          <cell r="J678">
            <v>135</v>
          </cell>
        </row>
        <row r="679">
          <cell r="A679" t="str">
            <v>Always_OnDESocial</v>
          </cell>
          <cell r="B679">
            <v>45222</v>
          </cell>
          <cell r="C679">
            <v>45222</v>
          </cell>
          <cell r="D679" t="str">
            <v>Always_On</v>
          </cell>
          <cell r="E679" t="str">
            <v>DE</v>
          </cell>
          <cell r="F679" t="str">
            <v>Social</v>
          </cell>
          <cell r="G679">
            <v>6340</v>
          </cell>
          <cell r="H679">
            <v>331157</v>
          </cell>
          <cell r="I679">
            <v>133327</v>
          </cell>
          <cell r="J679">
            <v>205</v>
          </cell>
        </row>
        <row r="680">
          <cell r="A680" t="str">
            <v>Always_OnDEDisplay</v>
          </cell>
          <cell r="B680">
            <v>45222</v>
          </cell>
          <cell r="C680">
            <v>45222</v>
          </cell>
          <cell r="D680" t="str">
            <v>Always_On</v>
          </cell>
          <cell r="E680" t="str">
            <v>DE</v>
          </cell>
          <cell r="F680" t="str">
            <v>Display</v>
          </cell>
          <cell r="G680">
            <v>3813</v>
          </cell>
          <cell r="H680">
            <v>909313</v>
          </cell>
          <cell r="I680">
            <v>218551</v>
          </cell>
          <cell r="J680">
            <v>34</v>
          </cell>
        </row>
        <row r="681">
          <cell r="A681" t="str">
            <v>Always_OnDESearch</v>
          </cell>
          <cell r="B681">
            <v>45222</v>
          </cell>
          <cell r="C681">
            <v>45222</v>
          </cell>
          <cell r="D681" t="str">
            <v>Always_On</v>
          </cell>
          <cell r="E681" t="str">
            <v>DE</v>
          </cell>
          <cell r="F681" t="str">
            <v>Search</v>
          </cell>
          <cell r="G681">
            <v>4362</v>
          </cell>
          <cell r="H681">
            <v>65096</v>
          </cell>
          <cell r="I681">
            <v>54999</v>
          </cell>
          <cell r="J681">
            <v>340</v>
          </cell>
        </row>
        <row r="682">
          <cell r="A682" t="str">
            <v>Always_OnSAYouTube</v>
          </cell>
          <cell r="B682">
            <v>45222</v>
          </cell>
          <cell r="C682">
            <v>45222</v>
          </cell>
          <cell r="D682" t="str">
            <v>Always_On</v>
          </cell>
          <cell r="E682" t="str">
            <v>SA</v>
          </cell>
          <cell r="F682" t="str">
            <v>YouTube</v>
          </cell>
          <cell r="G682">
            <v>5253</v>
          </cell>
          <cell r="H682">
            <v>360464</v>
          </cell>
          <cell r="I682">
            <v>123091</v>
          </cell>
          <cell r="J682">
            <v>676</v>
          </cell>
        </row>
        <row r="683">
          <cell r="A683" t="str">
            <v>Always_OnSASocial</v>
          </cell>
          <cell r="B683">
            <v>45222</v>
          </cell>
          <cell r="C683">
            <v>45222</v>
          </cell>
          <cell r="D683" t="str">
            <v>Always_On</v>
          </cell>
          <cell r="E683" t="str">
            <v>SA</v>
          </cell>
          <cell r="F683" t="str">
            <v>Social</v>
          </cell>
          <cell r="G683">
            <v>4053</v>
          </cell>
          <cell r="H683">
            <v>268660</v>
          </cell>
          <cell r="I683">
            <v>119789</v>
          </cell>
          <cell r="J683">
            <v>537</v>
          </cell>
        </row>
        <row r="684">
          <cell r="A684" t="str">
            <v>Always_OnSADisplay</v>
          </cell>
          <cell r="B684">
            <v>45222</v>
          </cell>
          <cell r="C684">
            <v>45222</v>
          </cell>
          <cell r="D684" t="str">
            <v>Always_On</v>
          </cell>
          <cell r="E684" t="str">
            <v>SA</v>
          </cell>
          <cell r="F684" t="str">
            <v>Display</v>
          </cell>
          <cell r="G684">
            <v>1346</v>
          </cell>
          <cell r="H684">
            <v>320549</v>
          </cell>
          <cell r="I684">
            <v>70287</v>
          </cell>
          <cell r="J684">
            <v>38</v>
          </cell>
        </row>
        <row r="685">
          <cell r="A685" t="str">
            <v>Always_OnSASearch</v>
          </cell>
          <cell r="B685">
            <v>45222</v>
          </cell>
          <cell r="C685">
            <v>45222</v>
          </cell>
          <cell r="D685" t="str">
            <v>Always_On</v>
          </cell>
          <cell r="E685" t="str">
            <v>SA</v>
          </cell>
          <cell r="F685" t="str">
            <v>Search</v>
          </cell>
          <cell r="G685">
            <v>2770</v>
          </cell>
          <cell r="H685">
            <v>27971</v>
          </cell>
          <cell r="I685">
            <v>25380</v>
          </cell>
          <cell r="J685">
            <v>812</v>
          </cell>
        </row>
        <row r="686">
          <cell r="A686" t="str">
            <v>Always_OnEGYouTube</v>
          </cell>
          <cell r="B686">
            <v>45222</v>
          </cell>
          <cell r="C686">
            <v>45222</v>
          </cell>
          <cell r="D686" t="str">
            <v>Always_On</v>
          </cell>
          <cell r="E686" t="str">
            <v>EG</v>
          </cell>
          <cell r="F686" t="str">
            <v>YouTube</v>
          </cell>
          <cell r="G686">
            <v>4110</v>
          </cell>
          <cell r="H686">
            <v>269285</v>
          </cell>
          <cell r="I686">
            <v>111142</v>
          </cell>
          <cell r="J686">
            <v>566</v>
          </cell>
        </row>
        <row r="687">
          <cell r="A687" t="str">
            <v>Always_OnEGSocial</v>
          </cell>
          <cell r="B687">
            <v>45222</v>
          </cell>
          <cell r="C687">
            <v>45222</v>
          </cell>
          <cell r="D687" t="str">
            <v>Always_On</v>
          </cell>
          <cell r="E687" t="str">
            <v>EG</v>
          </cell>
          <cell r="F687" t="str">
            <v>Social</v>
          </cell>
          <cell r="G687">
            <v>3656</v>
          </cell>
          <cell r="H687">
            <v>267701</v>
          </cell>
          <cell r="I687">
            <v>132872</v>
          </cell>
          <cell r="J687">
            <v>442</v>
          </cell>
        </row>
        <row r="688">
          <cell r="A688" t="str">
            <v>Always_OnEGDisplay</v>
          </cell>
          <cell r="B688">
            <v>45222</v>
          </cell>
          <cell r="C688">
            <v>45222</v>
          </cell>
          <cell r="D688" t="str">
            <v>Always_On</v>
          </cell>
          <cell r="E688" t="str">
            <v>EG</v>
          </cell>
          <cell r="F688" t="str">
            <v>Display</v>
          </cell>
          <cell r="G688">
            <v>2986</v>
          </cell>
          <cell r="H688">
            <v>771990</v>
          </cell>
          <cell r="I688">
            <v>160768</v>
          </cell>
          <cell r="J688">
            <v>85</v>
          </cell>
        </row>
        <row r="689">
          <cell r="A689" t="str">
            <v>Always_OnEGSearch</v>
          </cell>
          <cell r="B689">
            <v>45222</v>
          </cell>
          <cell r="C689">
            <v>45222</v>
          </cell>
          <cell r="D689" t="str">
            <v>Always_On</v>
          </cell>
          <cell r="E689" t="str">
            <v>EG</v>
          </cell>
          <cell r="F689" t="str">
            <v>Search</v>
          </cell>
          <cell r="G689">
            <v>3924</v>
          </cell>
          <cell r="H689">
            <v>47965</v>
          </cell>
          <cell r="I689">
            <v>42564</v>
          </cell>
          <cell r="J689">
            <v>1288</v>
          </cell>
        </row>
        <row r="690">
          <cell r="A690" t="str">
            <v>Always_OnUKYouTube</v>
          </cell>
          <cell r="B690">
            <v>45229</v>
          </cell>
          <cell r="C690">
            <v>45229</v>
          </cell>
          <cell r="D690" t="str">
            <v>Always_On</v>
          </cell>
          <cell r="E690" t="str">
            <v>UK</v>
          </cell>
          <cell r="F690" t="str">
            <v>YouTube</v>
          </cell>
          <cell r="G690">
            <v>4885</v>
          </cell>
          <cell r="H690">
            <v>436497</v>
          </cell>
          <cell r="I690">
            <v>215837</v>
          </cell>
          <cell r="J690">
            <v>148</v>
          </cell>
        </row>
        <row r="691">
          <cell r="A691" t="str">
            <v>Always_OnUKSocial</v>
          </cell>
          <cell r="B691">
            <v>45229</v>
          </cell>
          <cell r="C691">
            <v>45229</v>
          </cell>
          <cell r="D691" t="str">
            <v>Always_On</v>
          </cell>
          <cell r="E691" t="str">
            <v>UK</v>
          </cell>
          <cell r="F691" t="str">
            <v>Social</v>
          </cell>
          <cell r="G691">
            <v>6975</v>
          </cell>
          <cell r="H691">
            <v>358468</v>
          </cell>
          <cell r="I691">
            <v>123082</v>
          </cell>
          <cell r="J691">
            <v>229</v>
          </cell>
        </row>
        <row r="692">
          <cell r="A692" t="str">
            <v>Always_OnUKDisplay</v>
          </cell>
          <cell r="B692">
            <v>45229</v>
          </cell>
          <cell r="C692">
            <v>45229</v>
          </cell>
          <cell r="D692" t="str">
            <v>Always_On</v>
          </cell>
          <cell r="E692" t="str">
            <v>UK</v>
          </cell>
          <cell r="F692" t="str">
            <v>Display</v>
          </cell>
          <cell r="G692">
            <v>3330</v>
          </cell>
          <cell r="H692">
            <v>691820</v>
          </cell>
          <cell r="I692">
            <v>131156</v>
          </cell>
          <cell r="J692">
            <v>25</v>
          </cell>
        </row>
        <row r="693">
          <cell r="A693" t="str">
            <v>Always_OnUKSearch</v>
          </cell>
          <cell r="B693">
            <v>45229</v>
          </cell>
          <cell r="C693">
            <v>45229</v>
          </cell>
          <cell r="D693" t="str">
            <v>Always_On</v>
          </cell>
          <cell r="E693" t="str">
            <v>UK</v>
          </cell>
          <cell r="F693" t="str">
            <v>Search</v>
          </cell>
          <cell r="G693">
            <v>6739</v>
          </cell>
          <cell r="H693">
            <v>79274</v>
          </cell>
          <cell r="I693">
            <v>68658</v>
          </cell>
          <cell r="J693">
            <v>599</v>
          </cell>
        </row>
        <row r="694">
          <cell r="A694" t="str">
            <v>Always_OnDEYouTube</v>
          </cell>
          <cell r="B694">
            <v>45229</v>
          </cell>
          <cell r="C694">
            <v>45229</v>
          </cell>
          <cell r="D694" t="str">
            <v>Always_On</v>
          </cell>
          <cell r="E694" t="str">
            <v>DE</v>
          </cell>
          <cell r="F694" t="str">
            <v>YouTube</v>
          </cell>
          <cell r="G694">
            <v>3559</v>
          </cell>
          <cell r="H694">
            <v>315214</v>
          </cell>
          <cell r="I694">
            <v>122919</v>
          </cell>
          <cell r="J694">
            <v>110</v>
          </cell>
        </row>
        <row r="695">
          <cell r="A695" t="str">
            <v>Always_OnDESocial</v>
          </cell>
          <cell r="B695">
            <v>45229</v>
          </cell>
          <cell r="C695">
            <v>45229</v>
          </cell>
          <cell r="D695" t="str">
            <v>Always_On</v>
          </cell>
          <cell r="E695" t="str">
            <v>DE</v>
          </cell>
          <cell r="F695" t="str">
            <v>Social</v>
          </cell>
          <cell r="G695">
            <v>3444</v>
          </cell>
          <cell r="H695">
            <v>173665</v>
          </cell>
          <cell r="I695">
            <v>70584</v>
          </cell>
          <cell r="J695">
            <v>108</v>
          </cell>
        </row>
        <row r="696">
          <cell r="A696" t="str">
            <v>Always_OnDEDisplay</v>
          </cell>
          <cell r="B696">
            <v>45229</v>
          </cell>
          <cell r="C696">
            <v>45229</v>
          </cell>
          <cell r="D696" t="str">
            <v>Always_On</v>
          </cell>
          <cell r="E696" t="str">
            <v>DE</v>
          </cell>
          <cell r="F696" t="str">
            <v>Display</v>
          </cell>
          <cell r="G696">
            <v>2614</v>
          </cell>
          <cell r="H696">
            <v>760329</v>
          </cell>
          <cell r="I696">
            <v>157706</v>
          </cell>
          <cell r="J696">
            <v>23</v>
          </cell>
        </row>
        <row r="697">
          <cell r="A697" t="str">
            <v>Always_OnDESearch</v>
          </cell>
          <cell r="B697">
            <v>45229</v>
          </cell>
          <cell r="C697">
            <v>45229</v>
          </cell>
          <cell r="D697" t="str">
            <v>Always_On</v>
          </cell>
          <cell r="E697" t="str">
            <v>DE</v>
          </cell>
          <cell r="F697" t="str">
            <v>Search</v>
          </cell>
          <cell r="G697">
            <v>6215</v>
          </cell>
          <cell r="H697">
            <v>63427</v>
          </cell>
          <cell r="I697">
            <v>53777</v>
          </cell>
          <cell r="J697">
            <v>483</v>
          </cell>
        </row>
        <row r="698">
          <cell r="A698" t="str">
            <v>Always_OnSAYouTube</v>
          </cell>
          <cell r="B698">
            <v>45229</v>
          </cell>
          <cell r="C698">
            <v>45229</v>
          </cell>
          <cell r="D698" t="str">
            <v>Always_On</v>
          </cell>
          <cell r="E698" t="str">
            <v>SA</v>
          </cell>
          <cell r="F698" t="str">
            <v>YouTube</v>
          </cell>
          <cell r="G698">
            <v>2309</v>
          </cell>
          <cell r="H698">
            <v>135166</v>
          </cell>
          <cell r="I698">
            <v>56298</v>
          </cell>
          <cell r="J698">
            <v>314</v>
          </cell>
        </row>
        <row r="699">
          <cell r="A699" t="str">
            <v>Always_OnSASocial</v>
          </cell>
          <cell r="B699">
            <v>45229</v>
          </cell>
          <cell r="C699">
            <v>45229</v>
          </cell>
          <cell r="D699" t="str">
            <v>Always_On</v>
          </cell>
          <cell r="E699" t="str">
            <v>SA</v>
          </cell>
          <cell r="F699" t="str">
            <v>Social</v>
          </cell>
          <cell r="G699">
            <v>3954</v>
          </cell>
          <cell r="H699">
            <v>322605</v>
          </cell>
          <cell r="I699">
            <v>119514</v>
          </cell>
          <cell r="J699">
            <v>468</v>
          </cell>
        </row>
        <row r="700">
          <cell r="A700" t="str">
            <v>Always_OnSADisplay</v>
          </cell>
          <cell r="B700">
            <v>45229</v>
          </cell>
          <cell r="C700">
            <v>45229</v>
          </cell>
          <cell r="D700" t="str">
            <v>Always_On</v>
          </cell>
          <cell r="E700" t="str">
            <v>SA</v>
          </cell>
          <cell r="F700" t="str">
            <v>Display</v>
          </cell>
          <cell r="G700">
            <v>1414</v>
          </cell>
          <cell r="H700">
            <v>344702</v>
          </cell>
          <cell r="I700">
            <v>78220</v>
          </cell>
          <cell r="J700">
            <v>46</v>
          </cell>
        </row>
        <row r="701">
          <cell r="A701" t="str">
            <v>Always_OnSASearch</v>
          </cell>
          <cell r="B701">
            <v>45229</v>
          </cell>
          <cell r="C701">
            <v>45229</v>
          </cell>
          <cell r="D701" t="str">
            <v>Always_On</v>
          </cell>
          <cell r="E701" t="str">
            <v>SA</v>
          </cell>
          <cell r="F701" t="str">
            <v>Search</v>
          </cell>
          <cell r="G701">
            <v>4114</v>
          </cell>
          <cell r="H701">
            <v>45414</v>
          </cell>
          <cell r="I701">
            <v>39693</v>
          </cell>
          <cell r="J701">
            <v>1289</v>
          </cell>
        </row>
        <row r="702">
          <cell r="A702" t="str">
            <v>Always_OnEGYouTube</v>
          </cell>
          <cell r="B702">
            <v>45229</v>
          </cell>
          <cell r="C702">
            <v>45229</v>
          </cell>
          <cell r="D702" t="str">
            <v>Always_On</v>
          </cell>
          <cell r="E702" t="str">
            <v>EG</v>
          </cell>
          <cell r="F702" t="str">
            <v>YouTube</v>
          </cell>
          <cell r="G702">
            <v>4559</v>
          </cell>
          <cell r="H702">
            <v>321705</v>
          </cell>
          <cell r="I702">
            <v>109097</v>
          </cell>
          <cell r="J702">
            <v>563</v>
          </cell>
        </row>
        <row r="703">
          <cell r="A703" t="str">
            <v>Always_OnEGSocial</v>
          </cell>
          <cell r="B703">
            <v>45229</v>
          </cell>
          <cell r="C703">
            <v>45229</v>
          </cell>
          <cell r="D703" t="str">
            <v>Always_On</v>
          </cell>
          <cell r="E703" t="str">
            <v>EG</v>
          </cell>
          <cell r="F703" t="str">
            <v>Social</v>
          </cell>
          <cell r="G703">
            <v>3736</v>
          </cell>
          <cell r="H703">
            <v>243779</v>
          </cell>
          <cell r="I703">
            <v>88022</v>
          </cell>
          <cell r="J703">
            <v>452</v>
          </cell>
        </row>
        <row r="704">
          <cell r="A704" t="str">
            <v>Always_OnEGDisplay</v>
          </cell>
          <cell r="B704">
            <v>45229</v>
          </cell>
          <cell r="C704">
            <v>45229</v>
          </cell>
          <cell r="D704" t="str">
            <v>Always_On</v>
          </cell>
          <cell r="E704" t="str">
            <v>EG</v>
          </cell>
          <cell r="F704" t="str">
            <v>Display</v>
          </cell>
          <cell r="G704">
            <v>2584</v>
          </cell>
          <cell r="H704">
            <v>742317</v>
          </cell>
          <cell r="I704">
            <v>130392</v>
          </cell>
          <cell r="J704">
            <v>89</v>
          </cell>
        </row>
        <row r="705">
          <cell r="A705" t="str">
            <v>Always_OnEGSearch</v>
          </cell>
          <cell r="B705">
            <v>45229</v>
          </cell>
          <cell r="C705">
            <v>45229</v>
          </cell>
          <cell r="D705" t="str">
            <v>Always_On</v>
          </cell>
          <cell r="E705" t="str">
            <v>EG</v>
          </cell>
          <cell r="F705" t="str">
            <v>Search</v>
          </cell>
          <cell r="G705">
            <v>3034</v>
          </cell>
          <cell r="H705">
            <v>44555</v>
          </cell>
          <cell r="I705">
            <v>40264</v>
          </cell>
          <cell r="J705">
            <v>966</v>
          </cell>
        </row>
        <row r="706">
          <cell r="A706" t="str">
            <v>Always_OnUKYouTube</v>
          </cell>
          <cell r="B706">
            <v>45236</v>
          </cell>
          <cell r="C706">
            <v>45236</v>
          </cell>
          <cell r="D706" t="str">
            <v>Always_On</v>
          </cell>
          <cell r="E706" t="str">
            <v>UK</v>
          </cell>
          <cell r="F706" t="str">
            <v>YouTube</v>
          </cell>
          <cell r="G706">
            <v>4673</v>
          </cell>
          <cell r="H706">
            <v>359731</v>
          </cell>
          <cell r="I706">
            <v>123957</v>
          </cell>
          <cell r="J706">
            <v>155</v>
          </cell>
        </row>
        <row r="707">
          <cell r="A707" t="str">
            <v>Always_OnUKSocial</v>
          </cell>
          <cell r="B707">
            <v>45236</v>
          </cell>
          <cell r="C707">
            <v>45236</v>
          </cell>
          <cell r="D707" t="str">
            <v>Always_On</v>
          </cell>
          <cell r="E707" t="str">
            <v>UK</v>
          </cell>
          <cell r="F707" t="str">
            <v>Social</v>
          </cell>
          <cell r="G707">
            <v>6564</v>
          </cell>
          <cell r="H707">
            <v>507419</v>
          </cell>
          <cell r="I707">
            <v>171115</v>
          </cell>
          <cell r="J707">
            <v>211</v>
          </cell>
        </row>
        <row r="708">
          <cell r="A708" t="str">
            <v>Always_OnUKDisplay</v>
          </cell>
          <cell r="B708">
            <v>45236</v>
          </cell>
          <cell r="C708">
            <v>45236</v>
          </cell>
          <cell r="D708" t="str">
            <v>Always_On</v>
          </cell>
          <cell r="E708" t="str">
            <v>UK</v>
          </cell>
          <cell r="F708" t="str">
            <v>Display</v>
          </cell>
          <cell r="G708">
            <v>3986</v>
          </cell>
          <cell r="H708">
            <v>1105899</v>
          </cell>
          <cell r="I708">
            <v>200869</v>
          </cell>
          <cell r="J708">
            <v>31</v>
          </cell>
        </row>
        <row r="709">
          <cell r="A709" t="str">
            <v>Always_OnUKSearch</v>
          </cell>
          <cell r="B709">
            <v>45236</v>
          </cell>
          <cell r="C709">
            <v>45236</v>
          </cell>
          <cell r="D709" t="str">
            <v>Always_On</v>
          </cell>
          <cell r="E709" t="str">
            <v>UK</v>
          </cell>
          <cell r="F709" t="str">
            <v>Search</v>
          </cell>
          <cell r="G709">
            <v>3062</v>
          </cell>
          <cell r="H709">
            <v>36320</v>
          </cell>
          <cell r="I709">
            <v>31733</v>
          </cell>
          <cell r="J709">
            <v>274</v>
          </cell>
        </row>
        <row r="710">
          <cell r="A710" t="str">
            <v>Always_OnDEYouTube</v>
          </cell>
          <cell r="B710">
            <v>45236</v>
          </cell>
          <cell r="C710">
            <v>45236</v>
          </cell>
          <cell r="D710" t="str">
            <v>Always_On</v>
          </cell>
          <cell r="E710" t="str">
            <v>DE</v>
          </cell>
          <cell r="F710" t="str">
            <v>YouTube</v>
          </cell>
          <cell r="G710">
            <v>5361</v>
          </cell>
          <cell r="H710">
            <v>398018</v>
          </cell>
          <cell r="I710">
            <v>194699</v>
          </cell>
          <cell r="J710">
            <v>186</v>
          </cell>
        </row>
        <row r="711">
          <cell r="A711" t="str">
            <v>Always_OnDESocial</v>
          </cell>
          <cell r="B711">
            <v>45236</v>
          </cell>
          <cell r="C711">
            <v>45236</v>
          </cell>
          <cell r="D711" t="str">
            <v>Always_On</v>
          </cell>
          <cell r="E711" t="str">
            <v>DE</v>
          </cell>
          <cell r="F711" t="str">
            <v>Social</v>
          </cell>
          <cell r="G711">
            <v>6557</v>
          </cell>
          <cell r="H711">
            <v>509738</v>
          </cell>
          <cell r="I711">
            <v>253696</v>
          </cell>
          <cell r="J711">
            <v>224</v>
          </cell>
        </row>
        <row r="712">
          <cell r="A712" t="str">
            <v>Always_OnDEDisplay</v>
          </cell>
          <cell r="B712">
            <v>45236</v>
          </cell>
          <cell r="C712">
            <v>45236</v>
          </cell>
          <cell r="D712" t="str">
            <v>Always_On</v>
          </cell>
          <cell r="E712" t="str">
            <v>DE</v>
          </cell>
          <cell r="F712" t="str">
            <v>Display</v>
          </cell>
          <cell r="G712">
            <v>2180</v>
          </cell>
          <cell r="H712">
            <v>437418</v>
          </cell>
          <cell r="I712">
            <v>75951</v>
          </cell>
          <cell r="J712">
            <v>17</v>
          </cell>
        </row>
        <row r="713">
          <cell r="A713" t="str">
            <v>Always_OnDESearch</v>
          </cell>
          <cell r="B713">
            <v>45236</v>
          </cell>
          <cell r="C713">
            <v>45236</v>
          </cell>
          <cell r="D713" t="str">
            <v>Always_On</v>
          </cell>
          <cell r="E713" t="str">
            <v>DE</v>
          </cell>
          <cell r="F713" t="str">
            <v>Search</v>
          </cell>
          <cell r="G713">
            <v>5385</v>
          </cell>
          <cell r="H713">
            <v>62470</v>
          </cell>
          <cell r="I713">
            <v>52486</v>
          </cell>
          <cell r="J713">
            <v>451</v>
          </cell>
        </row>
        <row r="714">
          <cell r="A714" t="str">
            <v>Always_OnSAYouTube</v>
          </cell>
          <cell r="B714">
            <v>45236</v>
          </cell>
          <cell r="C714">
            <v>45236</v>
          </cell>
          <cell r="D714" t="str">
            <v>Always_On</v>
          </cell>
          <cell r="E714" t="str">
            <v>SA</v>
          </cell>
          <cell r="F714" t="str">
            <v>YouTube</v>
          </cell>
          <cell r="G714">
            <v>4467</v>
          </cell>
          <cell r="H714">
            <v>376826</v>
          </cell>
          <cell r="I714">
            <v>142376</v>
          </cell>
          <cell r="J714">
            <v>527</v>
          </cell>
        </row>
        <row r="715">
          <cell r="A715" t="str">
            <v>Always_OnSASocial</v>
          </cell>
          <cell r="B715">
            <v>45236</v>
          </cell>
          <cell r="C715">
            <v>45236</v>
          </cell>
          <cell r="D715" t="str">
            <v>Always_On</v>
          </cell>
          <cell r="E715" t="str">
            <v>SA</v>
          </cell>
          <cell r="F715" t="str">
            <v>Social</v>
          </cell>
          <cell r="G715">
            <v>4722</v>
          </cell>
          <cell r="H715">
            <v>329190</v>
          </cell>
          <cell r="I715">
            <v>127027</v>
          </cell>
          <cell r="J715">
            <v>568</v>
          </cell>
        </row>
        <row r="716">
          <cell r="A716" t="str">
            <v>Always_OnSADisplay</v>
          </cell>
          <cell r="B716">
            <v>45236</v>
          </cell>
          <cell r="C716">
            <v>45236</v>
          </cell>
          <cell r="D716" t="str">
            <v>Always_On</v>
          </cell>
          <cell r="E716" t="str">
            <v>SA</v>
          </cell>
          <cell r="F716" t="str">
            <v>Display</v>
          </cell>
          <cell r="G716">
            <v>2063</v>
          </cell>
          <cell r="H716">
            <v>514778</v>
          </cell>
          <cell r="I716">
            <v>111819</v>
          </cell>
          <cell r="J716">
            <v>70</v>
          </cell>
        </row>
        <row r="717">
          <cell r="A717" t="str">
            <v>Always_OnSASearch</v>
          </cell>
          <cell r="B717">
            <v>45236</v>
          </cell>
          <cell r="C717">
            <v>45236</v>
          </cell>
          <cell r="D717" t="str">
            <v>Always_On</v>
          </cell>
          <cell r="E717" t="str">
            <v>SA</v>
          </cell>
          <cell r="F717" t="str">
            <v>Search</v>
          </cell>
          <cell r="G717">
            <v>4245</v>
          </cell>
          <cell r="H717">
            <v>42569</v>
          </cell>
          <cell r="I717">
            <v>38560</v>
          </cell>
          <cell r="J717">
            <v>1357</v>
          </cell>
        </row>
        <row r="718">
          <cell r="A718" t="str">
            <v>Always_OnEGYouTube</v>
          </cell>
          <cell r="B718">
            <v>45236</v>
          </cell>
          <cell r="C718">
            <v>45236</v>
          </cell>
          <cell r="D718" t="str">
            <v>Always_On</v>
          </cell>
          <cell r="E718" t="str">
            <v>EG</v>
          </cell>
          <cell r="F718" t="str">
            <v>YouTube</v>
          </cell>
          <cell r="G718">
            <v>4103</v>
          </cell>
          <cell r="H718">
            <v>237956</v>
          </cell>
          <cell r="I718">
            <v>97557</v>
          </cell>
          <cell r="J718">
            <v>467</v>
          </cell>
        </row>
        <row r="719">
          <cell r="A719" t="str">
            <v>Always_OnEGSocial</v>
          </cell>
          <cell r="B719">
            <v>45236</v>
          </cell>
          <cell r="C719">
            <v>45236</v>
          </cell>
          <cell r="D719" t="str">
            <v>Always_On</v>
          </cell>
          <cell r="E719" t="str">
            <v>EG</v>
          </cell>
          <cell r="F719" t="str">
            <v>Social</v>
          </cell>
          <cell r="G719">
            <v>2325</v>
          </cell>
          <cell r="H719">
            <v>116809</v>
          </cell>
          <cell r="I719">
            <v>46098</v>
          </cell>
          <cell r="J719">
            <v>264</v>
          </cell>
        </row>
        <row r="720">
          <cell r="A720" t="str">
            <v>Always_OnEGDisplay</v>
          </cell>
          <cell r="B720">
            <v>45236</v>
          </cell>
          <cell r="C720">
            <v>45236</v>
          </cell>
          <cell r="D720" t="str">
            <v>Always_On</v>
          </cell>
          <cell r="E720" t="str">
            <v>EG</v>
          </cell>
          <cell r="F720" t="str">
            <v>Display</v>
          </cell>
          <cell r="G720">
            <v>1564</v>
          </cell>
          <cell r="H720">
            <v>393277</v>
          </cell>
          <cell r="I720">
            <v>67743</v>
          </cell>
          <cell r="J720">
            <v>51</v>
          </cell>
        </row>
        <row r="721">
          <cell r="A721" t="str">
            <v>Always_OnEGSearch</v>
          </cell>
          <cell r="B721">
            <v>45236</v>
          </cell>
          <cell r="C721">
            <v>45236</v>
          </cell>
          <cell r="D721" t="str">
            <v>Always_On</v>
          </cell>
          <cell r="E721" t="str">
            <v>EG</v>
          </cell>
          <cell r="F721" t="str">
            <v>Search</v>
          </cell>
          <cell r="G721">
            <v>4038</v>
          </cell>
          <cell r="H721">
            <v>45624</v>
          </cell>
          <cell r="I721">
            <v>41372</v>
          </cell>
          <cell r="J721">
            <v>1282</v>
          </cell>
        </row>
        <row r="722">
          <cell r="A722" t="str">
            <v>Always_OnUKYouTube</v>
          </cell>
          <cell r="B722">
            <v>45243</v>
          </cell>
          <cell r="C722">
            <v>45243</v>
          </cell>
          <cell r="D722" t="str">
            <v>Always_On</v>
          </cell>
          <cell r="E722" t="str">
            <v>UK</v>
          </cell>
          <cell r="F722" t="str">
            <v>YouTube</v>
          </cell>
          <cell r="G722">
            <v>6114</v>
          </cell>
          <cell r="H722">
            <v>512971</v>
          </cell>
          <cell r="I722">
            <v>256146</v>
          </cell>
          <cell r="J722">
            <v>200</v>
          </cell>
        </row>
        <row r="723">
          <cell r="A723" t="str">
            <v>Always_OnUKSocial</v>
          </cell>
          <cell r="B723">
            <v>45243</v>
          </cell>
          <cell r="C723">
            <v>45243</v>
          </cell>
          <cell r="D723" t="str">
            <v>Always_On</v>
          </cell>
          <cell r="E723" t="str">
            <v>UK</v>
          </cell>
          <cell r="F723" t="str">
            <v>Social</v>
          </cell>
          <cell r="G723">
            <v>5182</v>
          </cell>
          <cell r="H723">
            <v>460255</v>
          </cell>
          <cell r="I723">
            <v>169176</v>
          </cell>
          <cell r="J723">
            <v>159</v>
          </cell>
        </row>
        <row r="724">
          <cell r="A724" t="str">
            <v>Always_OnUKDisplay</v>
          </cell>
          <cell r="B724">
            <v>45243</v>
          </cell>
          <cell r="C724">
            <v>45243</v>
          </cell>
          <cell r="D724" t="str">
            <v>Always_On</v>
          </cell>
          <cell r="E724" t="str">
            <v>UK</v>
          </cell>
          <cell r="F724" t="str">
            <v>Display</v>
          </cell>
          <cell r="G724">
            <v>3696</v>
          </cell>
          <cell r="H724">
            <v>1104977</v>
          </cell>
          <cell r="I724">
            <v>218611</v>
          </cell>
          <cell r="J724">
            <v>32</v>
          </cell>
        </row>
        <row r="725">
          <cell r="A725" t="str">
            <v>Always_OnUKSearch</v>
          </cell>
          <cell r="B725">
            <v>45243</v>
          </cell>
          <cell r="C725">
            <v>45243</v>
          </cell>
          <cell r="D725" t="str">
            <v>Always_On</v>
          </cell>
          <cell r="E725" t="str">
            <v>UK</v>
          </cell>
          <cell r="F725" t="str">
            <v>Search</v>
          </cell>
          <cell r="G725">
            <v>4305</v>
          </cell>
          <cell r="H725">
            <v>53072</v>
          </cell>
          <cell r="I725">
            <v>47224</v>
          </cell>
          <cell r="J725">
            <v>338</v>
          </cell>
        </row>
        <row r="726">
          <cell r="A726" t="str">
            <v>Always_OnDEYouTube</v>
          </cell>
          <cell r="B726">
            <v>45243</v>
          </cell>
          <cell r="C726">
            <v>45243</v>
          </cell>
          <cell r="D726" t="str">
            <v>Always_On</v>
          </cell>
          <cell r="E726" t="str">
            <v>DE</v>
          </cell>
          <cell r="F726" t="str">
            <v>YouTube</v>
          </cell>
          <cell r="G726">
            <v>6210</v>
          </cell>
          <cell r="H726">
            <v>367952</v>
          </cell>
          <cell r="I726">
            <v>124279</v>
          </cell>
          <cell r="J726">
            <v>194</v>
          </cell>
        </row>
        <row r="727">
          <cell r="A727" t="str">
            <v>Always_OnDESocial</v>
          </cell>
          <cell r="B727">
            <v>45243</v>
          </cell>
          <cell r="C727">
            <v>45243</v>
          </cell>
          <cell r="D727" t="str">
            <v>Always_On</v>
          </cell>
          <cell r="E727" t="str">
            <v>DE</v>
          </cell>
          <cell r="F727" t="str">
            <v>Social</v>
          </cell>
          <cell r="G727">
            <v>6345</v>
          </cell>
          <cell r="H727">
            <v>394528</v>
          </cell>
          <cell r="I727">
            <v>137538</v>
          </cell>
          <cell r="J727">
            <v>213</v>
          </cell>
        </row>
        <row r="728">
          <cell r="A728" t="str">
            <v>Always_OnDEDisplay</v>
          </cell>
          <cell r="B728">
            <v>45243</v>
          </cell>
          <cell r="C728">
            <v>45243</v>
          </cell>
          <cell r="D728" t="str">
            <v>Always_On</v>
          </cell>
          <cell r="E728" t="str">
            <v>DE</v>
          </cell>
          <cell r="F728" t="str">
            <v>Display</v>
          </cell>
          <cell r="G728">
            <v>4071</v>
          </cell>
          <cell r="H728">
            <v>1014205</v>
          </cell>
          <cell r="I728">
            <v>176702</v>
          </cell>
          <cell r="J728">
            <v>30</v>
          </cell>
        </row>
        <row r="729">
          <cell r="A729" t="str">
            <v>Always_OnDESearch</v>
          </cell>
          <cell r="B729">
            <v>45243</v>
          </cell>
          <cell r="C729">
            <v>45243</v>
          </cell>
          <cell r="D729" t="str">
            <v>Always_On</v>
          </cell>
          <cell r="E729" t="str">
            <v>DE</v>
          </cell>
          <cell r="F729" t="str">
            <v>Search</v>
          </cell>
          <cell r="G729">
            <v>3600</v>
          </cell>
          <cell r="H729">
            <v>52046</v>
          </cell>
          <cell r="I729">
            <v>44011</v>
          </cell>
          <cell r="J729">
            <v>275</v>
          </cell>
        </row>
        <row r="730">
          <cell r="A730" t="str">
            <v>Always_OnSAYouTube</v>
          </cell>
          <cell r="B730">
            <v>45243</v>
          </cell>
          <cell r="C730">
            <v>45243</v>
          </cell>
          <cell r="D730" t="str">
            <v>Always_On</v>
          </cell>
          <cell r="E730" t="str">
            <v>SA</v>
          </cell>
          <cell r="F730" t="str">
            <v>YouTube</v>
          </cell>
          <cell r="G730">
            <v>2765</v>
          </cell>
          <cell r="H730">
            <v>216173</v>
          </cell>
          <cell r="I730">
            <v>103849</v>
          </cell>
          <cell r="J730">
            <v>374</v>
          </cell>
        </row>
        <row r="731">
          <cell r="A731" t="str">
            <v>Always_OnSASocial</v>
          </cell>
          <cell r="B731">
            <v>45243</v>
          </cell>
          <cell r="C731">
            <v>45243</v>
          </cell>
          <cell r="D731" t="str">
            <v>Always_On</v>
          </cell>
          <cell r="E731" t="str">
            <v>SA</v>
          </cell>
          <cell r="F731" t="str">
            <v>Social</v>
          </cell>
          <cell r="G731">
            <v>4280</v>
          </cell>
          <cell r="H731">
            <v>261222</v>
          </cell>
          <cell r="I731">
            <v>97907</v>
          </cell>
          <cell r="J731">
            <v>500</v>
          </cell>
        </row>
        <row r="732">
          <cell r="A732" t="str">
            <v>Always_OnSADisplay</v>
          </cell>
          <cell r="B732">
            <v>45243</v>
          </cell>
          <cell r="C732">
            <v>45243</v>
          </cell>
          <cell r="D732" t="str">
            <v>Always_On</v>
          </cell>
          <cell r="E732" t="str">
            <v>SA</v>
          </cell>
          <cell r="F732" t="str">
            <v>Display</v>
          </cell>
          <cell r="G732">
            <v>1387</v>
          </cell>
          <cell r="H732">
            <v>400071</v>
          </cell>
          <cell r="I732">
            <v>80366</v>
          </cell>
          <cell r="J732">
            <v>40</v>
          </cell>
        </row>
        <row r="733">
          <cell r="A733" t="str">
            <v>Always_OnSASearch</v>
          </cell>
          <cell r="B733">
            <v>45243</v>
          </cell>
          <cell r="C733">
            <v>45243</v>
          </cell>
          <cell r="D733" t="str">
            <v>Always_On</v>
          </cell>
          <cell r="E733" t="str">
            <v>SA</v>
          </cell>
          <cell r="F733" t="str">
            <v>Search</v>
          </cell>
          <cell r="G733">
            <v>4018</v>
          </cell>
          <cell r="H733">
            <v>48387</v>
          </cell>
          <cell r="I733">
            <v>43006</v>
          </cell>
          <cell r="J733">
            <v>1233</v>
          </cell>
        </row>
        <row r="734">
          <cell r="A734" t="str">
            <v>Always_OnEGYouTube</v>
          </cell>
          <cell r="B734">
            <v>45243</v>
          </cell>
          <cell r="C734">
            <v>45243</v>
          </cell>
          <cell r="D734" t="str">
            <v>Always_On</v>
          </cell>
          <cell r="E734" t="str">
            <v>EG</v>
          </cell>
          <cell r="F734" t="str">
            <v>YouTube</v>
          </cell>
          <cell r="G734">
            <v>4530</v>
          </cell>
          <cell r="H734">
            <v>319999</v>
          </cell>
          <cell r="I734">
            <v>155624</v>
          </cell>
          <cell r="J734">
            <v>615</v>
          </cell>
        </row>
        <row r="735">
          <cell r="A735" t="str">
            <v>Always_OnEGSocial</v>
          </cell>
          <cell r="B735">
            <v>45243</v>
          </cell>
          <cell r="C735">
            <v>45243</v>
          </cell>
          <cell r="D735" t="str">
            <v>Always_On</v>
          </cell>
          <cell r="E735" t="str">
            <v>EG</v>
          </cell>
          <cell r="F735" t="str">
            <v>Social</v>
          </cell>
          <cell r="G735">
            <v>2904</v>
          </cell>
          <cell r="H735">
            <v>217716</v>
          </cell>
          <cell r="I735">
            <v>84475</v>
          </cell>
          <cell r="J735">
            <v>346</v>
          </cell>
        </row>
        <row r="736">
          <cell r="A736" t="str">
            <v>Always_OnEGDisplay</v>
          </cell>
          <cell r="B736">
            <v>45243</v>
          </cell>
          <cell r="C736">
            <v>45243</v>
          </cell>
          <cell r="D736" t="str">
            <v>Always_On</v>
          </cell>
          <cell r="E736" t="str">
            <v>EG</v>
          </cell>
          <cell r="F736" t="str">
            <v>Display</v>
          </cell>
          <cell r="G736">
            <v>2172</v>
          </cell>
          <cell r="H736">
            <v>442871</v>
          </cell>
          <cell r="I736">
            <v>84314</v>
          </cell>
          <cell r="J736">
            <v>71</v>
          </cell>
        </row>
        <row r="737">
          <cell r="A737" t="str">
            <v>Always_OnEGSearch</v>
          </cell>
          <cell r="B737">
            <v>45243</v>
          </cell>
          <cell r="C737">
            <v>45243</v>
          </cell>
          <cell r="D737" t="str">
            <v>Always_On</v>
          </cell>
          <cell r="E737" t="str">
            <v>EG</v>
          </cell>
          <cell r="F737" t="str">
            <v>Search</v>
          </cell>
          <cell r="G737">
            <v>2947</v>
          </cell>
          <cell r="H737">
            <v>38031</v>
          </cell>
          <cell r="I737">
            <v>33008</v>
          </cell>
          <cell r="J737">
            <v>1001</v>
          </cell>
        </row>
        <row r="738">
          <cell r="A738" t="str">
            <v>Always_OnUKYouTube</v>
          </cell>
          <cell r="B738">
            <v>45250</v>
          </cell>
          <cell r="C738">
            <v>45250</v>
          </cell>
          <cell r="D738" t="str">
            <v>Always_On</v>
          </cell>
          <cell r="E738" t="str">
            <v>UK</v>
          </cell>
          <cell r="F738" t="str">
            <v>YouTube</v>
          </cell>
          <cell r="G738">
            <v>4258</v>
          </cell>
          <cell r="H738">
            <v>322675</v>
          </cell>
          <cell r="I738">
            <v>125762</v>
          </cell>
          <cell r="J738">
            <v>142</v>
          </cell>
        </row>
        <row r="739">
          <cell r="A739" t="str">
            <v>Always_OnUKSocial</v>
          </cell>
          <cell r="B739">
            <v>45250</v>
          </cell>
          <cell r="C739">
            <v>45250</v>
          </cell>
          <cell r="D739" t="str">
            <v>Always_On</v>
          </cell>
          <cell r="E739" t="str">
            <v>UK</v>
          </cell>
          <cell r="F739" t="str">
            <v>Social</v>
          </cell>
          <cell r="G739">
            <v>6140</v>
          </cell>
          <cell r="H739">
            <v>500238</v>
          </cell>
          <cell r="I739">
            <v>216803</v>
          </cell>
          <cell r="J739">
            <v>213</v>
          </cell>
        </row>
        <row r="740">
          <cell r="A740" t="str">
            <v>Always_OnUKDisplay</v>
          </cell>
          <cell r="B740">
            <v>45250</v>
          </cell>
          <cell r="C740">
            <v>45250</v>
          </cell>
          <cell r="D740" t="str">
            <v>Always_On</v>
          </cell>
          <cell r="E740" t="str">
            <v>UK</v>
          </cell>
          <cell r="F740" t="str">
            <v>Display</v>
          </cell>
          <cell r="G740">
            <v>3285</v>
          </cell>
          <cell r="H740">
            <v>920797</v>
          </cell>
          <cell r="I740">
            <v>155249</v>
          </cell>
          <cell r="J740">
            <v>30</v>
          </cell>
        </row>
        <row r="741">
          <cell r="A741" t="str">
            <v>Always_OnUKSearch</v>
          </cell>
          <cell r="B741">
            <v>45250</v>
          </cell>
          <cell r="C741">
            <v>45250</v>
          </cell>
          <cell r="D741" t="str">
            <v>Always_On</v>
          </cell>
          <cell r="E741" t="str">
            <v>UK</v>
          </cell>
          <cell r="F741" t="str">
            <v>Search</v>
          </cell>
          <cell r="G741">
            <v>7387</v>
          </cell>
          <cell r="H741">
            <v>76247</v>
          </cell>
          <cell r="I741">
            <v>63644</v>
          </cell>
          <cell r="J741">
            <v>627</v>
          </cell>
        </row>
        <row r="742">
          <cell r="A742" t="str">
            <v>Always_OnDEYouTube</v>
          </cell>
          <cell r="B742">
            <v>45250</v>
          </cell>
          <cell r="C742">
            <v>45250</v>
          </cell>
          <cell r="D742" t="str">
            <v>Always_On</v>
          </cell>
          <cell r="E742" t="str">
            <v>DE</v>
          </cell>
          <cell r="F742" t="str">
            <v>YouTube</v>
          </cell>
          <cell r="G742">
            <v>4566</v>
          </cell>
          <cell r="H742">
            <v>378655</v>
          </cell>
          <cell r="I742">
            <v>144451</v>
          </cell>
          <cell r="J742">
            <v>162</v>
          </cell>
        </row>
        <row r="743">
          <cell r="A743" t="str">
            <v>Always_OnDESocial</v>
          </cell>
          <cell r="B743">
            <v>45250</v>
          </cell>
          <cell r="C743">
            <v>45250</v>
          </cell>
          <cell r="D743" t="str">
            <v>Always_On</v>
          </cell>
          <cell r="E743" t="str">
            <v>DE</v>
          </cell>
          <cell r="F743" t="str">
            <v>Social</v>
          </cell>
          <cell r="G743">
            <v>4135</v>
          </cell>
          <cell r="H743">
            <v>299698</v>
          </cell>
          <cell r="I743">
            <v>108141</v>
          </cell>
          <cell r="J743">
            <v>152</v>
          </cell>
        </row>
        <row r="744">
          <cell r="A744" t="str">
            <v>Always_OnDEDisplay</v>
          </cell>
          <cell r="B744">
            <v>45250</v>
          </cell>
          <cell r="C744">
            <v>45250</v>
          </cell>
          <cell r="D744" t="str">
            <v>Always_On</v>
          </cell>
          <cell r="E744" t="str">
            <v>DE</v>
          </cell>
          <cell r="F744" t="str">
            <v>Display</v>
          </cell>
          <cell r="G744">
            <v>3465</v>
          </cell>
          <cell r="H744">
            <v>819367</v>
          </cell>
          <cell r="I744">
            <v>155496</v>
          </cell>
          <cell r="J744">
            <v>29</v>
          </cell>
        </row>
        <row r="745">
          <cell r="A745" t="str">
            <v>Always_OnDESearch</v>
          </cell>
          <cell r="B745">
            <v>45250</v>
          </cell>
          <cell r="C745">
            <v>45250</v>
          </cell>
          <cell r="D745" t="str">
            <v>Always_On</v>
          </cell>
          <cell r="E745" t="str">
            <v>DE</v>
          </cell>
          <cell r="F745" t="str">
            <v>Search</v>
          </cell>
          <cell r="G745">
            <v>6413</v>
          </cell>
          <cell r="H745">
            <v>83375</v>
          </cell>
          <cell r="I745">
            <v>75584</v>
          </cell>
          <cell r="J745">
            <v>558</v>
          </cell>
        </row>
        <row r="746">
          <cell r="A746" t="str">
            <v>Always_OnSAYouTube</v>
          </cell>
          <cell r="B746">
            <v>45250</v>
          </cell>
          <cell r="C746">
            <v>45250</v>
          </cell>
          <cell r="D746" t="str">
            <v>Always_On</v>
          </cell>
          <cell r="E746" t="str">
            <v>SA</v>
          </cell>
          <cell r="F746" t="str">
            <v>YouTube</v>
          </cell>
          <cell r="G746">
            <v>3541</v>
          </cell>
          <cell r="H746">
            <v>250422</v>
          </cell>
          <cell r="I746">
            <v>120460</v>
          </cell>
          <cell r="J746">
            <v>437</v>
          </cell>
        </row>
        <row r="747">
          <cell r="A747" t="str">
            <v>Always_OnSASocial</v>
          </cell>
          <cell r="B747">
            <v>45250</v>
          </cell>
          <cell r="C747">
            <v>45250</v>
          </cell>
          <cell r="D747" t="str">
            <v>Always_On</v>
          </cell>
          <cell r="E747" t="str">
            <v>SA</v>
          </cell>
          <cell r="F747" t="str">
            <v>Social</v>
          </cell>
          <cell r="G747">
            <v>4976</v>
          </cell>
          <cell r="H747">
            <v>382304</v>
          </cell>
          <cell r="I747">
            <v>136153</v>
          </cell>
          <cell r="J747">
            <v>675</v>
          </cell>
        </row>
        <row r="748">
          <cell r="A748" t="str">
            <v>Always_OnSADisplay</v>
          </cell>
          <cell r="B748">
            <v>45250</v>
          </cell>
          <cell r="C748">
            <v>45250</v>
          </cell>
          <cell r="D748" t="str">
            <v>Always_On</v>
          </cell>
          <cell r="E748" t="str">
            <v>SA</v>
          </cell>
          <cell r="F748" t="str">
            <v>Display</v>
          </cell>
          <cell r="G748">
            <v>2975</v>
          </cell>
          <cell r="H748">
            <v>708819</v>
          </cell>
          <cell r="I748">
            <v>145158</v>
          </cell>
          <cell r="J748">
            <v>92</v>
          </cell>
        </row>
        <row r="749">
          <cell r="A749" t="str">
            <v>Always_OnSASearch</v>
          </cell>
          <cell r="B749">
            <v>45250</v>
          </cell>
          <cell r="C749">
            <v>45250</v>
          </cell>
          <cell r="D749" t="str">
            <v>Always_On</v>
          </cell>
          <cell r="E749" t="str">
            <v>SA</v>
          </cell>
          <cell r="F749" t="str">
            <v>Search</v>
          </cell>
          <cell r="G749">
            <v>2819</v>
          </cell>
          <cell r="H749">
            <v>37283</v>
          </cell>
          <cell r="I749">
            <v>32305</v>
          </cell>
          <cell r="J749">
            <v>825</v>
          </cell>
        </row>
        <row r="750">
          <cell r="A750" t="str">
            <v>Always_OnEGYouTube</v>
          </cell>
          <cell r="B750">
            <v>45250</v>
          </cell>
          <cell r="C750">
            <v>45250</v>
          </cell>
          <cell r="D750" t="str">
            <v>Always_On</v>
          </cell>
          <cell r="E750" t="str">
            <v>EG</v>
          </cell>
          <cell r="F750" t="str">
            <v>YouTube</v>
          </cell>
          <cell r="G750">
            <v>3965</v>
          </cell>
          <cell r="H750">
            <v>344985</v>
          </cell>
          <cell r="I750">
            <v>143438</v>
          </cell>
          <cell r="J750">
            <v>464</v>
          </cell>
        </row>
        <row r="751">
          <cell r="A751" t="str">
            <v>Always_OnEGSocial</v>
          </cell>
          <cell r="B751">
            <v>45250</v>
          </cell>
          <cell r="C751">
            <v>45250</v>
          </cell>
          <cell r="D751" t="str">
            <v>Always_On</v>
          </cell>
          <cell r="E751" t="str">
            <v>EG</v>
          </cell>
          <cell r="F751" t="str">
            <v>Social</v>
          </cell>
          <cell r="G751">
            <v>2387</v>
          </cell>
          <cell r="H751">
            <v>208247</v>
          </cell>
          <cell r="I751">
            <v>72922</v>
          </cell>
          <cell r="J751">
            <v>279</v>
          </cell>
        </row>
        <row r="752">
          <cell r="A752" t="str">
            <v>Always_OnEGDisplay</v>
          </cell>
          <cell r="B752">
            <v>45250</v>
          </cell>
          <cell r="C752">
            <v>45250</v>
          </cell>
          <cell r="D752" t="str">
            <v>Always_On</v>
          </cell>
          <cell r="E752" t="str">
            <v>EG</v>
          </cell>
          <cell r="F752" t="str">
            <v>Display</v>
          </cell>
          <cell r="G752">
            <v>2118</v>
          </cell>
          <cell r="H752">
            <v>604160</v>
          </cell>
          <cell r="I752">
            <v>113751</v>
          </cell>
          <cell r="J752">
            <v>70</v>
          </cell>
        </row>
        <row r="753">
          <cell r="A753" t="str">
            <v>Always_OnEGSearch</v>
          </cell>
          <cell r="B753">
            <v>45250</v>
          </cell>
          <cell r="C753">
            <v>45250</v>
          </cell>
          <cell r="D753" t="str">
            <v>Always_On</v>
          </cell>
          <cell r="E753" t="str">
            <v>EG</v>
          </cell>
          <cell r="F753" t="str">
            <v>Search</v>
          </cell>
          <cell r="G753">
            <v>3230</v>
          </cell>
          <cell r="H753">
            <v>32734</v>
          </cell>
          <cell r="I753">
            <v>29201</v>
          </cell>
          <cell r="J753">
            <v>969</v>
          </cell>
        </row>
        <row r="754">
          <cell r="A754" t="str">
            <v>Always_OnUKYouTube</v>
          </cell>
          <cell r="B754">
            <v>45257</v>
          </cell>
          <cell r="C754">
            <v>45257</v>
          </cell>
          <cell r="D754" t="str">
            <v>Always_On</v>
          </cell>
          <cell r="E754" t="str">
            <v>UK</v>
          </cell>
          <cell r="F754" t="str">
            <v>YouTube</v>
          </cell>
          <cell r="G754">
            <v>7936</v>
          </cell>
          <cell r="H754">
            <v>593486</v>
          </cell>
          <cell r="I754">
            <v>238671</v>
          </cell>
          <cell r="J754">
            <v>284</v>
          </cell>
        </row>
        <row r="755">
          <cell r="A755" t="str">
            <v>Always_OnUKSocial</v>
          </cell>
          <cell r="B755">
            <v>45257</v>
          </cell>
          <cell r="C755">
            <v>45257</v>
          </cell>
          <cell r="D755" t="str">
            <v>Always_On</v>
          </cell>
          <cell r="E755" t="str">
            <v>UK</v>
          </cell>
          <cell r="F755" t="str">
            <v>Social</v>
          </cell>
          <cell r="G755">
            <v>6088</v>
          </cell>
          <cell r="H755">
            <v>376918</v>
          </cell>
          <cell r="I755">
            <v>137570</v>
          </cell>
          <cell r="J755">
            <v>219</v>
          </cell>
        </row>
        <row r="756">
          <cell r="A756" t="str">
            <v>Always_OnUKDisplay</v>
          </cell>
          <cell r="B756">
            <v>45257</v>
          </cell>
          <cell r="C756">
            <v>45257</v>
          </cell>
          <cell r="D756" t="str">
            <v>Always_On</v>
          </cell>
          <cell r="E756" t="str">
            <v>UK</v>
          </cell>
          <cell r="F756" t="str">
            <v>Display</v>
          </cell>
          <cell r="G756">
            <v>2514</v>
          </cell>
          <cell r="H756">
            <v>598492</v>
          </cell>
          <cell r="I756">
            <v>125969</v>
          </cell>
          <cell r="J756">
            <v>22</v>
          </cell>
        </row>
        <row r="757">
          <cell r="A757" t="str">
            <v>Always_OnUKSearch</v>
          </cell>
          <cell r="B757">
            <v>45257</v>
          </cell>
          <cell r="C757">
            <v>45257</v>
          </cell>
          <cell r="D757" t="str">
            <v>Always_On</v>
          </cell>
          <cell r="E757" t="str">
            <v>UK</v>
          </cell>
          <cell r="F757" t="str">
            <v>Search</v>
          </cell>
          <cell r="G757">
            <v>4934</v>
          </cell>
          <cell r="H757">
            <v>52179</v>
          </cell>
          <cell r="I757">
            <v>45879</v>
          </cell>
          <cell r="J757">
            <v>428</v>
          </cell>
        </row>
        <row r="758">
          <cell r="A758" t="str">
            <v>Always_OnDEYouTube</v>
          </cell>
          <cell r="B758">
            <v>45257</v>
          </cell>
          <cell r="C758">
            <v>45257</v>
          </cell>
          <cell r="D758" t="str">
            <v>Always_On</v>
          </cell>
          <cell r="E758" t="str">
            <v>DE</v>
          </cell>
          <cell r="F758" t="str">
            <v>YouTube</v>
          </cell>
          <cell r="G758">
            <v>4572</v>
          </cell>
          <cell r="H758">
            <v>336011</v>
          </cell>
          <cell r="I758">
            <v>164351</v>
          </cell>
          <cell r="J758">
            <v>166</v>
          </cell>
        </row>
        <row r="759">
          <cell r="A759" t="str">
            <v>Always_OnDESocial</v>
          </cell>
          <cell r="B759">
            <v>45257</v>
          </cell>
          <cell r="C759">
            <v>45257</v>
          </cell>
          <cell r="D759" t="str">
            <v>Always_On</v>
          </cell>
          <cell r="E759" t="str">
            <v>DE</v>
          </cell>
          <cell r="F759" t="str">
            <v>Social</v>
          </cell>
          <cell r="G759">
            <v>6973</v>
          </cell>
          <cell r="H759">
            <v>384536</v>
          </cell>
          <cell r="I759">
            <v>137288</v>
          </cell>
          <cell r="J759">
            <v>216</v>
          </cell>
        </row>
        <row r="760">
          <cell r="A760" t="str">
            <v>Always_OnDEDisplay</v>
          </cell>
          <cell r="B760">
            <v>45257</v>
          </cell>
          <cell r="C760">
            <v>45257</v>
          </cell>
          <cell r="D760" t="str">
            <v>Always_On</v>
          </cell>
          <cell r="E760" t="str">
            <v>DE</v>
          </cell>
          <cell r="F760" t="str">
            <v>Display</v>
          </cell>
          <cell r="G760">
            <v>4177</v>
          </cell>
          <cell r="H760">
            <v>876155</v>
          </cell>
          <cell r="I760">
            <v>171463</v>
          </cell>
          <cell r="J760">
            <v>35</v>
          </cell>
        </row>
        <row r="761">
          <cell r="A761" t="str">
            <v>Always_OnDESearch</v>
          </cell>
          <cell r="B761">
            <v>45257</v>
          </cell>
          <cell r="C761">
            <v>45257</v>
          </cell>
          <cell r="D761" t="str">
            <v>Always_On</v>
          </cell>
          <cell r="E761" t="str">
            <v>DE</v>
          </cell>
          <cell r="F761" t="str">
            <v>Search</v>
          </cell>
          <cell r="G761">
            <v>6397</v>
          </cell>
          <cell r="H761">
            <v>80665</v>
          </cell>
          <cell r="I761">
            <v>69423</v>
          </cell>
          <cell r="J761">
            <v>576</v>
          </cell>
        </row>
        <row r="762">
          <cell r="A762" t="str">
            <v>Always_OnSAYouTube</v>
          </cell>
          <cell r="B762">
            <v>45257</v>
          </cell>
          <cell r="C762">
            <v>45257</v>
          </cell>
          <cell r="D762" t="str">
            <v>Always_On</v>
          </cell>
          <cell r="E762" t="str">
            <v>SA</v>
          </cell>
          <cell r="F762" t="str">
            <v>YouTube</v>
          </cell>
          <cell r="G762">
            <v>2691</v>
          </cell>
          <cell r="H762">
            <v>225613</v>
          </cell>
          <cell r="I762">
            <v>78858</v>
          </cell>
          <cell r="J762">
            <v>338</v>
          </cell>
        </row>
        <row r="763">
          <cell r="A763" t="str">
            <v>Always_OnSASocial</v>
          </cell>
          <cell r="B763">
            <v>45257</v>
          </cell>
          <cell r="C763">
            <v>45257</v>
          </cell>
          <cell r="D763" t="str">
            <v>Always_On</v>
          </cell>
          <cell r="E763" t="str">
            <v>SA</v>
          </cell>
          <cell r="F763" t="str">
            <v>Social</v>
          </cell>
          <cell r="G763">
            <v>3323</v>
          </cell>
          <cell r="H763">
            <v>297330</v>
          </cell>
          <cell r="I763">
            <v>126498</v>
          </cell>
          <cell r="J763">
            <v>430</v>
          </cell>
        </row>
        <row r="764">
          <cell r="A764" t="str">
            <v>Always_OnSADisplay</v>
          </cell>
          <cell r="B764">
            <v>45257</v>
          </cell>
          <cell r="C764">
            <v>45257</v>
          </cell>
          <cell r="D764" t="str">
            <v>Always_On</v>
          </cell>
          <cell r="E764" t="str">
            <v>SA</v>
          </cell>
          <cell r="F764" t="str">
            <v>Display</v>
          </cell>
          <cell r="G764">
            <v>2254</v>
          </cell>
          <cell r="H764">
            <v>667799</v>
          </cell>
          <cell r="I764">
            <v>123522</v>
          </cell>
          <cell r="J764">
            <v>76</v>
          </cell>
        </row>
        <row r="765">
          <cell r="A765" t="str">
            <v>Always_OnSASearch</v>
          </cell>
          <cell r="B765">
            <v>45257</v>
          </cell>
          <cell r="C765">
            <v>45257</v>
          </cell>
          <cell r="D765" t="str">
            <v>Always_On</v>
          </cell>
          <cell r="E765" t="str">
            <v>SA</v>
          </cell>
          <cell r="F765" t="str">
            <v>Search</v>
          </cell>
          <cell r="G765">
            <v>4447</v>
          </cell>
          <cell r="H765">
            <v>58707</v>
          </cell>
          <cell r="I765">
            <v>52867</v>
          </cell>
          <cell r="J765">
            <v>1506</v>
          </cell>
        </row>
        <row r="766">
          <cell r="A766" t="str">
            <v>Always_OnEGYouTube</v>
          </cell>
          <cell r="B766">
            <v>45257</v>
          </cell>
          <cell r="C766">
            <v>45257</v>
          </cell>
          <cell r="D766" t="str">
            <v>Always_On</v>
          </cell>
          <cell r="E766" t="str">
            <v>EG</v>
          </cell>
          <cell r="F766" t="str">
            <v>YouTube</v>
          </cell>
          <cell r="G766">
            <v>4778</v>
          </cell>
          <cell r="H766">
            <v>368351</v>
          </cell>
          <cell r="I766">
            <v>135509</v>
          </cell>
          <cell r="J766">
            <v>610</v>
          </cell>
        </row>
        <row r="767">
          <cell r="A767" t="str">
            <v>Always_OnEGSocial</v>
          </cell>
          <cell r="B767">
            <v>45257</v>
          </cell>
          <cell r="C767">
            <v>45257</v>
          </cell>
          <cell r="D767" t="str">
            <v>Always_On</v>
          </cell>
          <cell r="E767" t="str">
            <v>EG</v>
          </cell>
          <cell r="F767" t="str">
            <v>Social</v>
          </cell>
          <cell r="G767">
            <v>3409</v>
          </cell>
          <cell r="H767">
            <v>219257</v>
          </cell>
          <cell r="I767">
            <v>104838</v>
          </cell>
          <cell r="J767">
            <v>387</v>
          </cell>
        </row>
        <row r="768">
          <cell r="A768" t="str">
            <v>Always_OnEGDisplay</v>
          </cell>
          <cell r="B768">
            <v>45257</v>
          </cell>
          <cell r="C768">
            <v>45257</v>
          </cell>
          <cell r="D768" t="str">
            <v>Always_On</v>
          </cell>
          <cell r="E768" t="str">
            <v>EG</v>
          </cell>
          <cell r="F768" t="str">
            <v>Display</v>
          </cell>
          <cell r="G768">
            <v>2567</v>
          </cell>
          <cell r="H768">
            <v>516394</v>
          </cell>
          <cell r="I768">
            <v>94574</v>
          </cell>
          <cell r="J768">
            <v>73</v>
          </cell>
        </row>
        <row r="769">
          <cell r="A769" t="str">
            <v>Always_OnEGSearch</v>
          </cell>
          <cell r="B769">
            <v>45257</v>
          </cell>
          <cell r="C769">
            <v>45257</v>
          </cell>
          <cell r="D769" t="str">
            <v>Always_On</v>
          </cell>
          <cell r="E769" t="str">
            <v>EG</v>
          </cell>
          <cell r="F769" t="str">
            <v>Search</v>
          </cell>
          <cell r="G769">
            <v>4623</v>
          </cell>
          <cell r="H769">
            <v>52434</v>
          </cell>
          <cell r="I769">
            <v>43802</v>
          </cell>
          <cell r="J769">
            <v>1429</v>
          </cell>
        </row>
        <row r="770">
          <cell r="A770" t="str">
            <v>Always_OnUKYouTube</v>
          </cell>
          <cell r="B770">
            <v>45264</v>
          </cell>
          <cell r="C770">
            <v>45264</v>
          </cell>
          <cell r="D770" t="str">
            <v>Always_On</v>
          </cell>
          <cell r="E770" t="str">
            <v>UK</v>
          </cell>
          <cell r="F770" t="str">
            <v>YouTube</v>
          </cell>
          <cell r="G770">
            <v>4353</v>
          </cell>
          <cell r="H770">
            <v>383090</v>
          </cell>
          <cell r="I770">
            <v>136572</v>
          </cell>
          <cell r="J770">
            <v>140</v>
          </cell>
        </row>
        <row r="771">
          <cell r="A771" t="str">
            <v>Always_OnUKSocial</v>
          </cell>
          <cell r="B771">
            <v>45264</v>
          </cell>
          <cell r="C771">
            <v>45264</v>
          </cell>
          <cell r="D771" t="str">
            <v>Always_On</v>
          </cell>
          <cell r="E771" t="str">
            <v>UK</v>
          </cell>
          <cell r="F771" t="str">
            <v>Social</v>
          </cell>
          <cell r="G771">
            <v>3522</v>
          </cell>
          <cell r="H771">
            <v>243317</v>
          </cell>
          <cell r="I771">
            <v>91919</v>
          </cell>
          <cell r="J771">
            <v>107</v>
          </cell>
        </row>
        <row r="772">
          <cell r="A772" t="str">
            <v>Always_OnUKDisplay</v>
          </cell>
          <cell r="B772">
            <v>45264</v>
          </cell>
          <cell r="C772">
            <v>45264</v>
          </cell>
          <cell r="D772" t="str">
            <v>Always_On</v>
          </cell>
          <cell r="E772" t="str">
            <v>UK</v>
          </cell>
          <cell r="F772" t="str">
            <v>Display</v>
          </cell>
          <cell r="G772">
            <v>3164</v>
          </cell>
          <cell r="H772">
            <v>660062</v>
          </cell>
          <cell r="I772">
            <v>149926</v>
          </cell>
          <cell r="J772">
            <v>25</v>
          </cell>
        </row>
        <row r="773">
          <cell r="A773" t="str">
            <v>Always_OnUKSearch</v>
          </cell>
          <cell r="B773">
            <v>45264</v>
          </cell>
          <cell r="C773">
            <v>45264</v>
          </cell>
          <cell r="D773" t="str">
            <v>Always_On</v>
          </cell>
          <cell r="E773" t="str">
            <v>UK</v>
          </cell>
          <cell r="F773" t="str">
            <v>Search</v>
          </cell>
          <cell r="G773">
            <v>3507</v>
          </cell>
          <cell r="H773">
            <v>37459</v>
          </cell>
          <cell r="I773">
            <v>31694</v>
          </cell>
          <cell r="J773">
            <v>302</v>
          </cell>
        </row>
        <row r="774">
          <cell r="A774" t="str">
            <v>Always_OnDEYouTube</v>
          </cell>
          <cell r="B774">
            <v>45264</v>
          </cell>
          <cell r="C774">
            <v>45264</v>
          </cell>
          <cell r="D774" t="str">
            <v>Always_On</v>
          </cell>
          <cell r="E774" t="str">
            <v>DE</v>
          </cell>
          <cell r="F774" t="str">
            <v>YouTube</v>
          </cell>
          <cell r="G774">
            <v>4996</v>
          </cell>
          <cell r="H774">
            <v>251534</v>
          </cell>
          <cell r="I774">
            <v>100939</v>
          </cell>
          <cell r="J774">
            <v>173</v>
          </cell>
        </row>
        <row r="775">
          <cell r="A775" t="str">
            <v>Always_OnDESocial</v>
          </cell>
          <cell r="B775">
            <v>45264</v>
          </cell>
          <cell r="C775">
            <v>45264</v>
          </cell>
          <cell r="D775" t="str">
            <v>Always_On</v>
          </cell>
          <cell r="E775" t="str">
            <v>DE</v>
          </cell>
          <cell r="F775" t="str">
            <v>Social</v>
          </cell>
          <cell r="G775">
            <v>3738</v>
          </cell>
          <cell r="H775">
            <v>235911</v>
          </cell>
          <cell r="I775">
            <v>83921</v>
          </cell>
          <cell r="J775">
            <v>118</v>
          </cell>
        </row>
        <row r="776">
          <cell r="A776" t="str">
            <v>Always_OnDEDisplay</v>
          </cell>
          <cell r="B776">
            <v>45264</v>
          </cell>
          <cell r="C776">
            <v>45264</v>
          </cell>
          <cell r="D776" t="str">
            <v>Always_On</v>
          </cell>
          <cell r="E776" t="str">
            <v>DE</v>
          </cell>
          <cell r="F776" t="str">
            <v>Display</v>
          </cell>
          <cell r="G776">
            <v>4349</v>
          </cell>
          <cell r="H776">
            <v>1040554</v>
          </cell>
          <cell r="I776">
            <v>180296</v>
          </cell>
          <cell r="J776">
            <v>40</v>
          </cell>
        </row>
        <row r="777">
          <cell r="A777" t="str">
            <v>Always_OnDESearch</v>
          </cell>
          <cell r="B777">
            <v>45264</v>
          </cell>
          <cell r="C777">
            <v>45264</v>
          </cell>
          <cell r="D777" t="str">
            <v>Always_On</v>
          </cell>
          <cell r="E777" t="str">
            <v>DE</v>
          </cell>
          <cell r="F777" t="str">
            <v>Search</v>
          </cell>
          <cell r="G777">
            <v>4808</v>
          </cell>
          <cell r="H777">
            <v>67657</v>
          </cell>
          <cell r="I777">
            <v>57049</v>
          </cell>
          <cell r="J777">
            <v>372</v>
          </cell>
        </row>
        <row r="778">
          <cell r="A778" t="str">
            <v>Always_OnSAYouTube</v>
          </cell>
          <cell r="B778">
            <v>45264</v>
          </cell>
          <cell r="C778">
            <v>45264</v>
          </cell>
          <cell r="D778" t="str">
            <v>Always_On</v>
          </cell>
          <cell r="E778" t="str">
            <v>SA</v>
          </cell>
          <cell r="F778" t="str">
            <v>YouTube</v>
          </cell>
          <cell r="G778">
            <v>3788</v>
          </cell>
          <cell r="H778">
            <v>299754</v>
          </cell>
          <cell r="I778">
            <v>124659</v>
          </cell>
          <cell r="J778">
            <v>431</v>
          </cell>
        </row>
        <row r="779">
          <cell r="A779" t="str">
            <v>Always_OnSASocial</v>
          </cell>
          <cell r="B779">
            <v>45264</v>
          </cell>
          <cell r="C779">
            <v>45264</v>
          </cell>
          <cell r="D779" t="str">
            <v>Always_On</v>
          </cell>
          <cell r="E779" t="str">
            <v>SA</v>
          </cell>
          <cell r="F779" t="str">
            <v>Social</v>
          </cell>
          <cell r="G779">
            <v>4618</v>
          </cell>
          <cell r="H779">
            <v>390017</v>
          </cell>
          <cell r="I779">
            <v>154402</v>
          </cell>
          <cell r="J779">
            <v>630</v>
          </cell>
        </row>
        <row r="780">
          <cell r="A780" t="str">
            <v>Always_OnSADisplay</v>
          </cell>
          <cell r="B780">
            <v>45264</v>
          </cell>
          <cell r="C780">
            <v>45264</v>
          </cell>
          <cell r="D780" t="str">
            <v>Always_On</v>
          </cell>
          <cell r="E780" t="str">
            <v>SA</v>
          </cell>
          <cell r="F780" t="str">
            <v>Display</v>
          </cell>
          <cell r="G780">
            <v>1911</v>
          </cell>
          <cell r="H780">
            <v>465175</v>
          </cell>
          <cell r="I780">
            <v>84262</v>
          </cell>
          <cell r="J780">
            <v>56</v>
          </cell>
        </row>
        <row r="781">
          <cell r="A781" t="str">
            <v>Always_OnSASearch</v>
          </cell>
          <cell r="B781">
            <v>45264</v>
          </cell>
          <cell r="C781">
            <v>45264</v>
          </cell>
          <cell r="D781" t="str">
            <v>Always_On</v>
          </cell>
          <cell r="E781" t="str">
            <v>SA</v>
          </cell>
          <cell r="F781" t="str">
            <v>Search</v>
          </cell>
          <cell r="G781">
            <v>2899</v>
          </cell>
          <cell r="H781">
            <v>35481</v>
          </cell>
          <cell r="I781">
            <v>31524</v>
          </cell>
          <cell r="J781">
            <v>878</v>
          </cell>
        </row>
        <row r="782">
          <cell r="A782" t="str">
            <v>Always_OnEGYouTube</v>
          </cell>
          <cell r="B782">
            <v>45264</v>
          </cell>
          <cell r="C782">
            <v>45264</v>
          </cell>
          <cell r="D782" t="str">
            <v>Always_On</v>
          </cell>
          <cell r="E782" t="str">
            <v>EG</v>
          </cell>
          <cell r="F782" t="str">
            <v>YouTube</v>
          </cell>
          <cell r="G782">
            <v>3446</v>
          </cell>
          <cell r="H782">
            <v>190434</v>
          </cell>
          <cell r="I782">
            <v>75756</v>
          </cell>
          <cell r="J782">
            <v>469</v>
          </cell>
        </row>
        <row r="783">
          <cell r="A783" t="str">
            <v>Always_OnEGSocial</v>
          </cell>
          <cell r="B783">
            <v>45264</v>
          </cell>
          <cell r="C783">
            <v>45264</v>
          </cell>
          <cell r="D783" t="str">
            <v>Always_On</v>
          </cell>
          <cell r="E783" t="str">
            <v>EG</v>
          </cell>
          <cell r="F783" t="str">
            <v>Social</v>
          </cell>
          <cell r="G783">
            <v>4148</v>
          </cell>
          <cell r="H783">
            <v>262260</v>
          </cell>
          <cell r="I783">
            <v>114294</v>
          </cell>
          <cell r="J783">
            <v>481</v>
          </cell>
        </row>
        <row r="784">
          <cell r="A784" t="str">
            <v>Always_OnEGDisplay</v>
          </cell>
          <cell r="B784">
            <v>45264</v>
          </cell>
          <cell r="C784">
            <v>45264</v>
          </cell>
          <cell r="D784" t="str">
            <v>Always_On</v>
          </cell>
          <cell r="E784" t="str">
            <v>EG</v>
          </cell>
          <cell r="F784" t="str">
            <v>Display</v>
          </cell>
          <cell r="G784">
            <v>1433</v>
          </cell>
          <cell r="H784">
            <v>320333</v>
          </cell>
          <cell r="I784">
            <v>76355</v>
          </cell>
          <cell r="J784">
            <v>40</v>
          </cell>
        </row>
        <row r="785">
          <cell r="A785" t="str">
            <v>Always_OnEGSearch</v>
          </cell>
          <cell r="B785">
            <v>45264</v>
          </cell>
          <cell r="C785">
            <v>45264</v>
          </cell>
          <cell r="D785" t="str">
            <v>Always_On</v>
          </cell>
          <cell r="E785" t="str">
            <v>EG</v>
          </cell>
          <cell r="F785" t="str">
            <v>Search</v>
          </cell>
          <cell r="G785">
            <v>4594</v>
          </cell>
          <cell r="H785">
            <v>66918</v>
          </cell>
          <cell r="I785">
            <v>57039</v>
          </cell>
          <cell r="J785">
            <v>1401</v>
          </cell>
        </row>
        <row r="786">
          <cell r="A786" t="str">
            <v>Always_OnUKYouTube</v>
          </cell>
          <cell r="B786">
            <v>45271</v>
          </cell>
          <cell r="C786">
            <v>45271</v>
          </cell>
          <cell r="D786" t="str">
            <v>Always_On</v>
          </cell>
          <cell r="E786" t="str">
            <v>UK</v>
          </cell>
          <cell r="F786" t="str">
            <v>YouTube</v>
          </cell>
          <cell r="G786">
            <v>5262</v>
          </cell>
          <cell r="H786">
            <v>375017</v>
          </cell>
          <cell r="I786">
            <v>148220</v>
          </cell>
          <cell r="J786">
            <v>168</v>
          </cell>
        </row>
        <row r="787">
          <cell r="A787" t="str">
            <v>Always_OnUKSocial</v>
          </cell>
          <cell r="B787">
            <v>45271</v>
          </cell>
          <cell r="C787">
            <v>45271</v>
          </cell>
          <cell r="D787" t="str">
            <v>Always_On</v>
          </cell>
          <cell r="E787" t="str">
            <v>UK</v>
          </cell>
          <cell r="F787" t="str">
            <v>Social</v>
          </cell>
          <cell r="G787">
            <v>7269</v>
          </cell>
          <cell r="H787">
            <v>429577</v>
          </cell>
          <cell r="I787">
            <v>189073</v>
          </cell>
          <cell r="J787">
            <v>240</v>
          </cell>
        </row>
        <row r="788">
          <cell r="A788" t="str">
            <v>Always_OnUKDisplay</v>
          </cell>
          <cell r="B788">
            <v>45271</v>
          </cell>
          <cell r="C788">
            <v>45271</v>
          </cell>
          <cell r="D788" t="str">
            <v>Always_On</v>
          </cell>
          <cell r="E788" t="str">
            <v>UK</v>
          </cell>
          <cell r="F788" t="str">
            <v>Display</v>
          </cell>
          <cell r="G788">
            <v>4658</v>
          </cell>
          <cell r="H788">
            <v>1285082</v>
          </cell>
          <cell r="I788">
            <v>279427</v>
          </cell>
          <cell r="J788">
            <v>40</v>
          </cell>
        </row>
        <row r="789">
          <cell r="A789" t="str">
            <v>Always_OnUKSearch</v>
          </cell>
          <cell r="B789">
            <v>45271</v>
          </cell>
          <cell r="C789">
            <v>45271</v>
          </cell>
          <cell r="D789" t="str">
            <v>Always_On</v>
          </cell>
          <cell r="E789" t="str">
            <v>UK</v>
          </cell>
          <cell r="F789" t="str">
            <v>Search</v>
          </cell>
          <cell r="G789">
            <v>4202</v>
          </cell>
          <cell r="H789">
            <v>42637</v>
          </cell>
          <cell r="I789">
            <v>37966</v>
          </cell>
          <cell r="J789">
            <v>352</v>
          </cell>
        </row>
        <row r="790">
          <cell r="A790" t="str">
            <v>Always_OnDEYouTube</v>
          </cell>
          <cell r="B790">
            <v>45271</v>
          </cell>
          <cell r="C790">
            <v>45271</v>
          </cell>
          <cell r="D790" t="str">
            <v>Always_On</v>
          </cell>
          <cell r="E790" t="str">
            <v>DE</v>
          </cell>
          <cell r="F790" t="str">
            <v>YouTube</v>
          </cell>
          <cell r="G790">
            <v>7058</v>
          </cell>
          <cell r="H790">
            <v>420666</v>
          </cell>
          <cell r="I790">
            <v>145476</v>
          </cell>
          <cell r="J790">
            <v>226</v>
          </cell>
        </row>
        <row r="791">
          <cell r="A791" t="str">
            <v>Always_OnDESocial</v>
          </cell>
          <cell r="B791">
            <v>45271</v>
          </cell>
          <cell r="C791">
            <v>45271</v>
          </cell>
          <cell r="D791" t="str">
            <v>Always_On</v>
          </cell>
          <cell r="E791" t="str">
            <v>DE</v>
          </cell>
          <cell r="F791" t="str">
            <v>Social</v>
          </cell>
          <cell r="G791">
            <v>6714</v>
          </cell>
          <cell r="H791">
            <v>425501</v>
          </cell>
          <cell r="I791">
            <v>196395</v>
          </cell>
          <cell r="J791">
            <v>242</v>
          </cell>
        </row>
        <row r="792">
          <cell r="A792" t="str">
            <v>Always_OnDEDisplay</v>
          </cell>
          <cell r="B792">
            <v>45271</v>
          </cell>
          <cell r="C792">
            <v>45271</v>
          </cell>
          <cell r="D792" t="str">
            <v>Always_On</v>
          </cell>
          <cell r="E792" t="str">
            <v>DE</v>
          </cell>
          <cell r="F792" t="str">
            <v>Display</v>
          </cell>
          <cell r="G792">
            <v>3757</v>
          </cell>
          <cell r="H792">
            <v>1009255</v>
          </cell>
          <cell r="I792">
            <v>194517</v>
          </cell>
          <cell r="J792">
            <v>31</v>
          </cell>
        </row>
        <row r="793">
          <cell r="A793" t="str">
            <v>Always_OnDESearch</v>
          </cell>
          <cell r="B793">
            <v>45271</v>
          </cell>
          <cell r="C793">
            <v>45271</v>
          </cell>
          <cell r="D793" t="str">
            <v>Always_On</v>
          </cell>
          <cell r="E793" t="str">
            <v>DE</v>
          </cell>
          <cell r="F793" t="str">
            <v>Search</v>
          </cell>
          <cell r="G793">
            <v>6302</v>
          </cell>
          <cell r="H793">
            <v>72823</v>
          </cell>
          <cell r="I793">
            <v>61519</v>
          </cell>
          <cell r="J793">
            <v>525</v>
          </cell>
        </row>
        <row r="794">
          <cell r="A794" t="str">
            <v>Always_OnSAYouTube</v>
          </cell>
          <cell r="B794">
            <v>45271</v>
          </cell>
          <cell r="C794">
            <v>45271</v>
          </cell>
          <cell r="D794" t="str">
            <v>Always_On</v>
          </cell>
          <cell r="E794" t="str">
            <v>SA</v>
          </cell>
          <cell r="F794" t="str">
            <v>YouTube</v>
          </cell>
          <cell r="G794">
            <v>2150</v>
          </cell>
          <cell r="H794">
            <v>176097</v>
          </cell>
          <cell r="I794">
            <v>64619</v>
          </cell>
          <cell r="J794">
            <v>295</v>
          </cell>
        </row>
        <row r="795">
          <cell r="A795" t="str">
            <v>Always_OnSASocial</v>
          </cell>
          <cell r="B795">
            <v>45271</v>
          </cell>
          <cell r="C795">
            <v>45271</v>
          </cell>
          <cell r="D795" t="str">
            <v>Always_On</v>
          </cell>
          <cell r="E795" t="str">
            <v>SA</v>
          </cell>
          <cell r="F795" t="str">
            <v>Social</v>
          </cell>
          <cell r="G795">
            <v>4130</v>
          </cell>
          <cell r="H795">
            <v>242263</v>
          </cell>
          <cell r="I795">
            <v>82570</v>
          </cell>
          <cell r="J795">
            <v>563</v>
          </cell>
        </row>
        <row r="796">
          <cell r="A796" t="str">
            <v>Always_OnSADisplay</v>
          </cell>
          <cell r="B796">
            <v>45271</v>
          </cell>
          <cell r="C796">
            <v>45271</v>
          </cell>
          <cell r="D796" t="str">
            <v>Always_On</v>
          </cell>
          <cell r="E796" t="str">
            <v>SA</v>
          </cell>
          <cell r="F796" t="str">
            <v>Display</v>
          </cell>
          <cell r="G796">
            <v>1406</v>
          </cell>
          <cell r="H796">
            <v>302538</v>
          </cell>
          <cell r="I796">
            <v>54048</v>
          </cell>
          <cell r="J796">
            <v>41</v>
          </cell>
        </row>
        <row r="797">
          <cell r="A797" t="str">
            <v>Always_OnSASearch</v>
          </cell>
          <cell r="B797">
            <v>45271</v>
          </cell>
          <cell r="C797">
            <v>45271</v>
          </cell>
          <cell r="D797" t="str">
            <v>Always_On</v>
          </cell>
          <cell r="E797" t="str">
            <v>SA</v>
          </cell>
          <cell r="F797" t="str">
            <v>Search</v>
          </cell>
          <cell r="G797">
            <v>5123</v>
          </cell>
          <cell r="H797">
            <v>53681</v>
          </cell>
          <cell r="I797">
            <v>44798</v>
          </cell>
          <cell r="J797">
            <v>1749</v>
          </cell>
        </row>
        <row r="798">
          <cell r="A798" t="str">
            <v>Always_OnEGYouTube</v>
          </cell>
          <cell r="B798">
            <v>45271</v>
          </cell>
          <cell r="C798">
            <v>45271</v>
          </cell>
          <cell r="D798" t="str">
            <v>Always_On</v>
          </cell>
          <cell r="E798" t="str">
            <v>EG</v>
          </cell>
          <cell r="F798" t="str">
            <v>YouTube</v>
          </cell>
          <cell r="G798">
            <v>3839</v>
          </cell>
          <cell r="H798">
            <v>203458</v>
          </cell>
          <cell r="I798">
            <v>72523</v>
          </cell>
          <cell r="J798">
            <v>448</v>
          </cell>
        </row>
        <row r="799">
          <cell r="A799" t="str">
            <v>Always_OnEGSocial</v>
          </cell>
          <cell r="B799">
            <v>45271</v>
          </cell>
          <cell r="C799">
            <v>45271</v>
          </cell>
          <cell r="D799" t="str">
            <v>Always_On</v>
          </cell>
          <cell r="E799" t="str">
            <v>EG</v>
          </cell>
          <cell r="F799" t="str">
            <v>Social</v>
          </cell>
          <cell r="G799">
            <v>2638</v>
          </cell>
          <cell r="H799">
            <v>148663</v>
          </cell>
          <cell r="I799">
            <v>54428</v>
          </cell>
          <cell r="J799">
            <v>303</v>
          </cell>
        </row>
        <row r="800">
          <cell r="A800" t="str">
            <v>Always_OnEGDisplay</v>
          </cell>
          <cell r="B800">
            <v>45271</v>
          </cell>
          <cell r="C800">
            <v>45271</v>
          </cell>
          <cell r="D800" t="str">
            <v>Always_On</v>
          </cell>
          <cell r="E800" t="str">
            <v>EG</v>
          </cell>
          <cell r="F800" t="str">
            <v>Display</v>
          </cell>
          <cell r="G800">
            <v>2237</v>
          </cell>
          <cell r="H800">
            <v>455040</v>
          </cell>
          <cell r="I800">
            <v>84456</v>
          </cell>
          <cell r="J800">
            <v>72</v>
          </cell>
        </row>
        <row r="801">
          <cell r="A801" t="str">
            <v>Always_OnEGSearch</v>
          </cell>
          <cell r="B801">
            <v>45271</v>
          </cell>
          <cell r="C801">
            <v>45271</v>
          </cell>
          <cell r="D801" t="str">
            <v>Always_On</v>
          </cell>
          <cell r="E801" t="str">
            <v>EG</v>
          </cell>
          <cell r="F801" t="str">
            <v>Search</v>
          </cell>
          <cell r="G801">
            <v>4060</v>
          </cell>
          <cell r="H801">
            <v>58708</v>
          </cell>
          <cell r="I801">
            <v>50052</v>
          </cell>
          <cell r="J801">
            <v>1294</v>
          </cell>
        </row>
        <row r="802">
          <cell r="A802" t="str">
            <v>Always_OnUKYouTube</v>
          </cell>
          <cell r="B802">
            <v>45278</v>
          </cell>
          <cell r="C802">
            <v>45278</v>
          </cell>
          <cell r="D802" t="str">
            <v>Always_On</v>
          </cell>
          <cell r="E802" t="str">
            <v>UK</v>
          </cell>
          <cell r="F802" t="str">
            <v>YouTube</v>
          </cell>
          <cell r="G802">
            <v>5533</v>
          </cell>
          <cell r="H802">
            <v>377929</v>
          </cell>
          <cell r="I802">
            <v>133016</v>
          </cell>
          <cell r="J802">
            <v>197</v>
          </cell>
        </row>
        <row r="803">
          <cell r="A803" t="str">
            <v>Always_OnUKSocial</v>
          </cell>
          <cell r="B803">
            <v>45278</v>
          </cell>
          <cell r="C803">
            <v>45278</v>
          </cell>
          <cell r="D803" t="str">
            <v>Always_On</v>
          </cell>
          <cell r="E803" t="str">
            <v>UK</v>
          </cell>
          <cell r="F803" t="str">
            <v>Social</v>
          </cell>
          <cell r="G803">
            <v>4543</v>
          </cell>
          <cell r="H803">
            <v>381132</v>
          </cell>
          <cell r="I803">
            <v>132017</v>
          </cell>
          <cell r="J803">
            <v>148</v>
          </cell>
        </row>
        <row r="804">
          <cell r="A804" t="str">
            <v>Always_OnUKDisplay</v>
          </cell>
          <cell r="B804">
            <v>45278</v>
          </cell>
          <cell r="C804">
            <v>45278</v>
          </cell>
          <cell r="D804" t="str">
            <v>Always_On</v>
          </cell>
          <cell r="E804" t="str">
            <v>UK</v>
          </cell>
          <cell r="F804" t="str">
            <v>Display</v>
          </cell>
          <cell r="G804">
            <v>2347</v>
          </cell>
          <cell r="H804">
            <v>606144</v>
          </cell>
          <cell r="I804">
            <v>116956</v>
          </cell>
          <cell r="J804">
            <v>19</v>
          </cell>
        </row>
        <row r="805">
          <cell r="A805" t="str">
            <v>Always_OnUKSearch</v>
          </cell>
          <cell r="B805">
            <v>45278</v>
          </cell>
          <cell r="C805">
            <v>45278</v>
          </cell>
          <cell r="D805" t="str">
            <v>Always_On</v>
          </cell>
          <cell r="E805" t="str">
            <v>UK</v>
          </cell>
          <cell r="F805" t="str">
            <v>Search</v>
          </cell>
          <cell r="G805">
            <v>4806</v>
          </cell>
          <cell r="H805">
            <v>63594</v>
          </cell>
          <cell r="I805">
            <v>54612</v>
          </cell>
          <cell r="J805">
            <v>373</v>
          </cell>
        </row>
        <row r="806">
          <cell r="A806" t="str">
            <v>Always_OnDEYouTube</v>
          </cell>
          <cell r="B806">
            <v>45278</v>
          </cell>
          <cell r="C806">
            <v>45278</v>
          </cell>
          <cell r="D806" t="str">
            <v>Always_On</v>
          </cell>
          <cell r="E806" t="str">
            <v>DE</v>
          </cell>
          <cell r="F806" t="str">
            <v>YouTube</v>
          </cell>
          <cell r="G806">
            <v>4528</v>
          </cell>
          <cell r="H806">
            <v>403462</v>
          </cell>
          <cell r="I806">
            <v>196675</v>
          </cell>
          <cell r="J806">
            <v>145</v>
          </cell>
        </row>
        <row r="807">
          <cell r="A807" t="str">
            <v>Always_OnDESocial</v>
          </cell>
          <cell r="B807">
            <v>45278</v>
          </cell>
          <cell r="C807">
            <v>45278</v>
          </cell>
          <cell r="D807" t="str">
            <v>Always_On</v>
          </cell>
          <cell r="E807" t="str">
            <v>DE</v>
          </cell>
          <cell r="F807" t="str">
            <v>Social</v>
          </cell>
          <cell r="G807">
            <v>6794</v>
          </cell>
          <cell r="H807">
            <v>442891</v>
          </cell>
          <cell r="I807">
            <v>154322</v>
          </cell>
          <cell r="J807">
            <v>221</v>
          </cell>
        </row>
        <row r="808">
          <cell r="A808" t="str">
            <v>Always_OnDEDisplay</v>
          </cell>
          <cell r="B808">
            <v>45278</v>
          </cell>
          <cell r="C808">
            <v>45278</v>
          </cell>
          <cell r="D808" t="str">
            <v>Always_On</v>
          </cell>
          <cell r="E808" t="str">
            <v>DE</v>
          </cell>
          <cell r="F808" t="str">
            <v>Display</v>
          </cell>
          <cell r="G808">
            <v>2314</v>
          </cell>
          <cell r="H808">
            <v>593639</v>
          </cell>
          <cell r="I808">
            <v>136372</v>
          </cell>
          <cell r="J808">
            <v>18</v>
          </cell>
        </row>
        <row r="809">
          <cell r="A809" t="str">
            <v>Always_OnDESearch</v>
          </cell>
          <cell r="B809">
            <v>45278</v>
          </cell>
          <cell r="C809">
            <v>45278</v>
          </cell>
          <cell r="D809" t="str">
            <v>Always_On</v>
          </cell>
          <cell r="E809" t="str">
            <v>DE</v>
          </cell>
          <cell r="F809" t="str">
            <v>Search</v>
          </cell>
          <cell r="G809">
            <v>6079</v>
          </cell>
          <cell r="H809">
            <v>80352</v>
          </cell>
          <cell r="I809">
            <v>71814</v>
          </cell>
          <cell r="J809">
            <v>467</v>
          </cell>
        </row>
        <row r="810">
          <cell r="A810" t="str">
            <v>Always_OnSAYouTube</v>
          </cell>
          <cell r="B810">
            <v>45278</v>
          </cell>
          <cell r="C810">
            <v>45278</v>
          </cell>
          <cell r="D810" t="str">
            <v>Always_On</v>
          </cell>
          <cell r="E810" t="str">
            <v>SA</v>
          </cell>
          <cell r="F810" t="str">
            <v>YouTube</v>
          </cell>
          <cell r="G810">
            <v>3961</v>
          </cell>
          <cell r="H810">
            <v>236298</v>
          </cell>
          <cell r="I810">
            <v>83078</v>
          </cell>
          <cell r="J810">
            <v>549</v>
          </cell>
        </row>
        <row r="811">
          <cell r="A811" t="str">
            <v>Always_OnSASocial</v>
          </cell>
          <cell r="B811">
            <v>45278</v>
          </cell>
          <cell r="C811">
            <v>45278</v>
          </cell>
          <cell r="D811" t="str">
            <v>Always_On</v>
          </cell>
          <cell r="E811" t="str">
            <v>SA</v>
          </cell>
          <cell r="F811" t="str">
            <v>Social</v>
          </cell>
          <cell r="G811">
            <v>5275</v>
          </cell>
          <cell r="H811">
            <v>414900</v>
          </cell>
          <cell r="I811">
            <v>189737</v>
          </cell>
          <cell r="J811">
            <v>622</v>
          </cell>
        </row>
        <row r="812">
          <cell r="A812" t="str">
            <v>Always_OnSADisplay</v>
          </cell>
          <cell r="B812">
            <v>45278</v>
          </cell>
          <cell r="C812">
            <v>45278</v>
          </cell>
          <cell r="D812" t="str">
            <v>Always_On</v>
          </cell>
          <cell r="E812" t="str">
            <v>SA</v>
          </cell>
          <cell r="F812" t="str">
            <v>Display</v>
          </cell>
          <cell r="G812">
            <v>2411</v>
          </cell>
          <cell r="H812">
            <v>495261</v>
          </cell>
          <cell r="I812">
            <v>87920</v>
          </cell>
          <cell r="J812">
            <v>71</v>
          </cell>
        </row>
        <row r="813">
          <cell r="A813" t="str">
            <v>Always_OnSASearch</v>
          </cell>
          <cell r="B813">
            <v>45278</v>
          </cell>
          <cell r="C813">
            <v>45278</v>
          </cell>
          <cell r="D813" t="str">
            <v>Always_On</v>
          </cell>
          <cell r="E813" t="str">
            <v>SA</v>
          </cell>
          <cell r="F813" t="str">
            <v>Search</v>
          </cell>
          <cell r="G813">
            <v>2591</v>
          </cell>
          <cell r="H813">
            <v>33550</v>
          </cell>
          <cell r="I813">
            <v>28508</v>
          </cell>
          <cell r="J813">
            <v>884</v>
          </cell>
        </row>
        <row r="814">
          <cell r="A814" t="str">
            <v>Always_OnEGYouTube</v>
          </cell>
          <cell r="B814">
            <v>45278</v>
          </cell>
          <cell r="C814">
            <v>45278</v>
          </cell>
          <cell r="D814" t="str">
            <v>Always_On</v>
          </cell>
          <cell r="E814" t="str">
            <v>EG</v>
          </cell>
          <cell r="F814" t="str">
            <v>YouTube</v>
          </cell>
          <cell r="G814">
            <v>2067</v>
          </cell>
          <cell r="H814">
            <v>125686</v>
          </cell>
          <cell r="I814">
            <v>62066</v>
          </cell>
          <cell r="J814">
            <v>270</v>
          </cell>
        </row>
        <row r="815">
          <cell r="A815" t="str">
            <v>Always_OnEGSocial</v>
          </cell>
          <cell r="B815">
            <v>45278</v>
          </cell>
          <cell r="C815">
            <v>45278</v>
          </cell>
          <cell r="D815" t="str">
            <v>Always_On</v>
          </cell>
          <cell r="E815" t="str">
            <v>EG</v>
          </cell>
          <cell r="F815" t="str">
            <v>Social</v>
          </cell>
          <cell r="G815">
            <v>1937</v>
          </cell>
          <cell r="H815">
            <v>105753</v>
          </cell>
          <cell r="I815">
            <v>47258</v>
          </cell>
          <cell r="J815">
            <v>254</v>
          </cell>
        </row>
        <row r="816">
          <cell r="A816" t="str">
            <v>Always_OnEGDisplay</v>
          </cell>
          <cell r="B816">
            <v>45278</v>
          </cell>
          <cell r="C816">
            <v>45278</v>
          </cell>
          <cell r="D816" t="str">
            <v>Always_On</v>
          </cell>
          <cell r="E816" t="str">
            <v>EG</v>
          </cell>
          <cell r="F816" t="str">
            <v>Display</v>
          </cell>
          <cell r="G816">
            <v>1564</v>
          </cell>
          <cell r="H816">
            <v>449293</v>
          </cell>
          <cell r="I816">
            <v>78490</v>
          </cell>
          <cell r="J816">
            <v>49</v>
          </cell>
        </row>
        <row r="817">
          <cell r="A817" t="str">
            <v>Always_OnEGSearch</v>
          </cell>
          <cell r="B817">
            <v>45278</v>
          </cell>
          <cell r="C817">
            <v>45278</v>
          </cell>
          <cell r="D817" t="str">
            <v>Always_On</v>
          </cell>
          <cell r="E817" t="str">
            <v>EG</v>
          </cell>
          <cell r="F817" t="str">
            <v>Search</v>
          </cell>
          <cell r="G817">
            <v>3811</v>
          </cell>
          <cell r="H817">
            <v>48005</v>
          </cell>
          <cell r="I817">
            <v>43053</v>
          </cell>
          <cell r="J817">
            <v>1103</v>
          </cell>
        </row>
        <row r="818">
          <cell r="A818" t="str">
            <v>Always_OnUKYouTube</v>
          </cell>
          <cell r="B818">
            <v>45285</v>
          </cell>
          <cell r="C818">
            <v>45285</v>
          </cell>
          <cell r="D818" t="str">
            <v>Always_On</v>
          </cell>
          <cell r="E818" t="str">
            <v>UK</v>
          </cell>
          <cell r="F818" t="str">
            <v>YouTube</v>
          </cell>
          <cell r="G818">
            <v>4210</v>
          </cell>
          <cell r="H818">
            <v>342320</v>
          </cell>
          <cell r="I818">
            <v>142311</v>
          </cell>
          <cell r="J818">
            <v>140</v>
          </cell>
        </row>
        <row r="819">
          <cell r="A819" t="str">
            <v>Always_OnUKSocial</v>
          </cell>
          <cell r="B819">
            <v>45285</v>
          </cell>
          <cell r="C819">
            <v>45285</v>
          </cell>
          <cell r="D819" t="str">
            <v>Always_On</v>
          </cell>
          <cell r="E819" t="str">
            <v>UK</v>
          </cell>
          <cell r="F819" t="str">
            <v>Social</v>
          </cell>
          <cell r="G819">
            <v>7031</v>
          </cell>
          <cell r="H819">
            <v>568224</v>
          </cell>
          <cell r="I819">
            <v>268138</v>
          </cell>
          <cell r="J819">
            <v>222</v>
          </cell>
        </row>
        <row r="820">
          <cell r="A820" t="str">
            <v>Always_OnUKDisplay</v>
          </cell>
          <cell r="B820">
            <v>45285</v>
          </cell>
          <cell r="C820">
            <v>45285</v>
          </cell>
          <cell r="D820" t="str">
            <v>Always_On</v>
          </cell>
          <cell r="E820" t="str">
            <v>UK</v>
          </cell>
          <cell r="F820" t="str">
            <v>Display</v>
          </cell>
          <cell r="G820">
            <v>3238</v>
          </cell>
          <cell r="H820">
            <v>760137</v>
          </cell>
          <cell r="I820">
            <v>132084</v>
          </cell>
          <cell r="J820">
            <v>24</v>
          </cell>
        </row>
        <row r="821">
          <cell r="A821" t="str">
            <v>Always_OnUKSearch</v>
          </cell>
          <cell r="B821">
            <v>45285</v>
          </cell>
          <cell r="C821">
            <v>45285</v>
          </cell>
          <cell r="D821" t="str">
            <v>Always_On</v>
          </cell>
          <cell r="E821" t="str">
            <v>UK</v>
          </cell>
          <cell r="F821" t="str">
            <v>Search</v>
          </cell>
          <cell r="G821">
            <v>4603</v>
          </cell>
          <cell r="H821">
            <v>49248</v>
          </cell>
          <cell r="I821">
            <v>43765</v>
          </cell>
          <cell r="J821">
            <v>362</v>
          </cell>
        </row>
        <row r="822">
          <cell r="A822" t="str">
            <v>Always_OnDEYouTube</v>
          </cell>
          <cell r="B822">
            <v>45285</v>
          </cell>
          <cell r="C822">
            <v>45285</v>
          </cell>
          <cell r="D822" t="str">
            <v>Always_On</v>
          </cell>
          <cell r="E822" t="str">
            <v>DE</v>
          </cell>
          <cell r="F822" t="str">
            <v>YouTube</v>
          </cell>
          <cell r="G822">
            <v>7337</v>
          </cell>
          <cell r="H822">
            <v>562962</v>
          </cell>
          <cell r="I822">
            <v>248347</v>
          </cell>
          <cell r="J822">
            <v>268</v>
          </cell>
        </row>
        <row r="823">
          <cell r="A823" t="str">
            <v>Always_OnDESocial</v>
          </cell>
          <cell r="B823">
            <v>45285</v>
          </cell>
          <cell r="C823">
            <v>45285</v>
          </cell>
          <cell r="D823" t="str">
            <v>Always_On</v>
          </cell>
          <cell r="E823" t="str">
            <v>DE</v>
          </cell>
          <cell r="F823" t="str">
            <v>Social</v>
          </cell>
          <cell r="G823">
            <v>3427</v>
          </cell>
          <cell r="H823">
            <v>174595</v>
          </cell>
          <cell r="I823">
            <v>80457</v>
          </cell>
          <cell r="J823">
            <v>123</v>
          </cell>
        </row>
        <row r="824">
          <cell r="A824" t="str">
            <v>Always_OnDEDisplay</v>
          </cell>
          <cell r="B824">
            <v>45285</v>
          </cell>
          <cell r="C824">
            <v>45285</v>
          </cell>
          <cell r="D824" t="str">
            <v>Always_On</v>
          </cell>
          <cell r="E824" t="str">
            <v>DE</v>
          </cell>
          <cell r="F824" t="str">
            <v>Display</v>
          </cell>
          <cell r="G824">
            <v>3173</v>
          </cell>
          <cell r="H824">
            <v>656502</v>
          </cell>
          <cell r="I824">
            <v>129397</v>
          </cell>
          <cell r="J824">
            <v>24</v>
          </cell>
        </row>
        <row r="825">
          <cell r="A825" t="str">
            <v>Always_OnDESearch</v>
          </cell>
          <cell r="B825">
            <v>45285</v>
          </cell>
          <cell r="C825">
            <v>45285</v>
          </cell>
          <cell r="D825" t="str">
            <v>Always_On</v>
          </cell>
          <cell r="E825" t="str">
            <v>DE</v>
          </cell>
          <cell r="F825" t="str">
            <v>Search</v>
          </cell>
          <cell r="G825">
            <v>4546</v>
          </cell>
          <cell r="H825">
            <v>65309</v>
          </cell>
          <cell r="I825">
            <v>58160</v>
          </cell>
          <cell r="J825">
            <v>401</v>
          </cell>
        </row>
        <row r="826">
          <cell r="A826" t="str">
            <v>Always_OnSAYouTube</v>
          </cell>
          <cell r="B826">
            <v>45285</v>
          </cell>
          <cell r="C826">
            <v>45285</v>
          </cell>
          <cell r="D826" t="str">
            <v>Always_On</v>
          </cell>
          <cell r="E826" t="str">
            <v>SA</v>
          </cell>
          <cell r="F826" t="str">
            <v>YouTube</v>
          </cell>
          <cell r="G826">
            <v>3346</v>
          </cell>
          <cell r="H826">
            <v>285029</v>
          </cell>
          <cell r="I826">
            <v>105657</v>
          </cell>
          <cell r="J826">
            <v>398</v>
          </cell>
        </row>
        <row r="827">
          <cell r="A827" t="str">
            <v>Always_OnSASocial</v>
          </cell>
          <cell r="B827">
            <v>45285</v>
          </cell>
          <cell r="C827">
            <v>45285</v>
          </cell>
          <cell r="D827" t="str">
            <v>Always_On</v>
          </cell>
          <cell r="E827" t="str">
            <v>SA</v>
          </cell>
          <cell r="F827" t="str">
            <v>Social</v>
          </cell>
          <cell r="G827">
            <v>4559</v>
          </cell>
          <cell r="H827">
            <v>374334</v>
          </cell>
          <cell r="I827">
            <v>148991</v>
          </cell>
          <cell r="J827">
            <v>538</v>
          </cell>
        </row>
        <row r="828">
          <cell r="A828" t="str">
            <v>Always_OnSADisplay</v>
          </cell>
          <cell r="B828">
            <v>45285</v>
          </cell>
          <cell r="C828">
            <v>45285</v>
          </cell>
          <cell r="D828" t="str">
            <v>Always_On</v>
          </cell>
          <cell r="E828" t="str">
            <v>SA</v>
          </cell>
          <cell r="F828" t="str">
            <v>Display</v>
          </cell>
          <cell r="G828">
            <v>2320</v>
          </cell>
          <cell r="H828">
            <v>636677</v>
          </cell>
          <cell r="I828">
            <v>158202</v>
          </cell>
          <cell r="J828">
            <v>73</v>
          </cell>
        </row>
        <row r="829">
          <cell r="A829" t="str">
            <v>Always_OnSASearch</v>
          </cell>
          <cell r="B829">
            <v>45285</v>
          </cell>
          <cell r="C829">
            <v>45285</v>
          </cell>
          <cell r="D829" t="str">
            <v>Always_On</v>
          </cell>
          <cell r="E829" t="str">
            <v>SA</v>
          </cell>
          <cell r="F829" t="str">
            <v>Search</v>
          </cell>
          <cell r="G829">
            <v>4386</v>
          </cell>
          <cell r="H829">
            <v>49404</v>
          </cell>
          <cell r="I829">
            <v>41690</v>
          </cell>
          <cell r="J829">
            <v>1459</v>
          </cell>
        </row>
        <row r="830">
          <cell r="A830" t="str">
            <v>Always_OnEGYouTube</v>
          </cell>
          <cell r="B830">
            <v>45285</v>
          </cell>
          <cell r="C830">
            <v>45285</v>
          </cell>
          <cell r="D830" t="str">
            <v>Always_On</v>
          </cell>
          <cell r="E830" t="str">
            <v>EG</v>
          </cell>
          <cell r="F830" t="str">
            <v>YouTube</v>
          </cell>
          <cell r="G830">
            <v>3873</v>
          </cell>
          <cell r="H830">
            <v>293935</v>
          </cell>
          <cell r="I830">
            <v>118805</v>
          </cell>
          <cell r="J830">
            <v>462</v>
          </cell>
        </row>
        <row r="831">
          <cell r="A831" t="str">
            <v>Always_OnEGSocial</v>
          </cell>
          <cell r="B831">
            <v>45285</v>
          </cell>
          <cell r="C831">
            <v>45285</v>
          </cell>
          <cell r="D831" t="str">
            <v>Always_On</v>
          </cell>
          <cell r="E831" t="str">
            <v>EG</v>
          </cell>
          <cell r="F831" t="str">
            <v>Social</v>
          </cell>
          <cell r="G831">
            <v>2452</v>
          </cell>
          <cell r="H831">
            <v>129283</v>
          </cell>
          <cell r="I831">
            <v>58253</v>
          </cell>
          <cell r="J831">
            <v>279</v>
          </cell>
        </row>
        <row r="832">
          <cell r="A832" t="str">
            <v>Always_OnEGDisplay</v>
          </cell>
          <cell r="B832">
            <v>45285</v>
          </cell>
          <cell r="C832">
            <v>45285</v>
          </cell>
          <cell r="D832" t="str">
            <v>Always_On</v>
          </cell>
          <cell r="E832" t="str">
            <v>EG</v>
          </cell>
          <cell r="F832" t="str">
            <v>Display</v>
          </cell>
          <cell r="G832">
            <v>2503</v>
          </cell>
          <cell r="H832">
            <v>607182</v>
          </cell>
          <cell r="I832">
            <v>112637</v>
          </cell>
          <cell r="J832">
            <v>76</v>
          </cell>
        </row>
        <row r="833">
          <cell r="A833" t="str">
            <v>Always_OnEGSearch</v>
          </cell>
          <cell r="B833">
            <v>45285</v>
          </cell>
          <cell r="C833">
            <v>45285</v>
          </cell>
          <cell r="D833" t="str">
            <v>Always_On</v>
          </cell>
          <cell r="E833" t="str">
            <v>EG</v>
          </cell>
          <cell r="F833" t="str">
            <v>Search</v>
          </cell>
          <cell r="G833">
            <v>2441</v>
          </cell>
          <cell r="H833">
            <v>36506</v>
          </cell>
          <cell r="I833">
            <v>31364</v>
          </cell>
          <cell r="J833">
            <v>776</v>
          </cell>
        </row>
        <row r="834">
          <cell r="A834" t="str">
            <v>Always_OnUKYouTube</v>
          </cell>
          <cell r="B834">
            <v>45292</v>
          </cell>
          <cell r="C834">
            <v>45292</v>
          </cell>
          <cell r="D834" t="str">
            <v>Always_On</v>
          </cell>
          <cell r="E834" t="str">
            <v>UK</v>
          </cell>
          <cell r="F834" t="str">
            <v>YouTube</v>
          </cell>
          <cell r="G834">
            <v>7101</v>
          </cell>
          <cell r="H834">
            <v>437103</v>
          </cell>
          <cell r="I834">
            <v>154478</v>
          </cell>
          <cell r="J834">
            <v>259</v>
          </cell>
        </row>
        <row r="835">
          <cell r="A835" t="str">
            <v>Always_OnUKSocial</v>
          </cell>
          <cell r="B835">
            <v>45292</v>
          </cell>
          <cell r="C835">
            <v>45292</v>
          </cell>
          <cell r="D835" t="str">
            <v>Always_On</v>
          </cell>
          <cell r="E835" t="str">
            <v>UK</v>
          </cell>
          <cell r="F835" t="str">
            <v>Social</v>
          </cell>
          <cell r="G835">
            <v>6134</v>
          </cell>
          <cell r="H835">
            <v>511474</v>
          </cell>
          <cell r="I835">
            <v>185534</v>
          </cell>
          <cell r="J835">
            <v>194</v>
          </cell>
        </row>
        <row r="836">
          <cell r="A836" t="str">
            <v>Always_OnUKDisplay</v>
          </cell>
          <cell r="B836">
            <v>45292</v>
          </cell>
          <cell r="C836">
            <v>45292</v>
          </cell>
          <cell r="D836" t="str">
            <v>Always_On</v>
          </cell>
          <cell r="E836" t="str">
            <v>UK</v>
          </cell>
          <cell r="F836" t="str">
            <v>Display</v>
          </cell>
          <cell r="G836">
            <v>3024</v>
          </cell>
          <cell r="H836">
            <v>632545</v>
          </cell>
          <cell r="I836">
            <v>107655</v>
          </cell>
          <cell r="J836">
            <v>27</v>
          </cell>
        </row>
        <row r="837">
          <cell r="A837" t="str">
            <v>Always_OnUKSearch</v>
          </cell>
          <cell r="B837">
            <v>45292</v>
          </cell>
          <cell r="C837">
            <v>45292</v>
          </cell>
          <cell r="D837" t="str">
            <v>Always_On</v>
          </cell>
          <cell r="E837" t="str">
            <v>UK</v>
          </cell>
          <cell r="F837" t="str">
            <v>Search</v>
          </cell>
          <cell r="G837">
            <v>3862</v>
          </cell>
          <cell r="H837">
            <v>56824</v>
          </cell>
          <cell r="I837">
            <v>51510</v>
          </cell>
          <cell r="J837">
            <v>294</v>
          </cell>
        </row>
        <row r="838">
          <cell r="A838" t="str">
            <v>Always_OnDEYouTube</v>
          </cell>
          <cell r="B838">
            <v>45292</v>
          </cell>
          <cell r="C838">
            <v>45292</v>
          </cell>
          <cell r="D838" t="str">
            <v>Always_On</v>
          </cell>
          <cell r="E838" t="str">
            <v>DE</v>
          </cell>
          <cell r="F838" t="str">
            <v>YouTube</v>
          </cell>
          <cell r="G838">
            <v>4974</v>
          </cell>
          <cell r="H838">
            <v>263184</v>
          </cell>
          <cell r="I838">
            <v>120274</v>
          </cell>
          <cell r="J838">
            <v>154</v>
          </cell>
        </row>
        <row r="839">
          <cell r="A839" t="str">
            <v>Always_OnDESocial</v>
          </cell>
          <cell r="B839">
            <v>45292</v>
          </cell>
          <cell r="C839">
            <v>45292</v>
          </cell>
          <cell r="D839" t="str">
            <v>Always_On</v>
          </cell>
          <cell r="E839" t="str">
            <v>DE</v>
          </cell>
          <cell r="F839" t="str">
            <v>Social</v>
          </cell>
          <cell r="G839">
            <v>4321</v>
          </cell>
          <cell r="H839">
            <v>298567</v>
          </cell>
          <cell r="I839">
            <v>133981</v>
          </cell>
          <cell r="J839">
            <v>144</v>
          </cell>
        </row>
        <row r="840">
          <cell r="A840" t="str">
            <v>Always_OnDEDisplay</v>
          </cell>
          <cell r="B840">
            <v>45292</v>
          </cell>
          <cell r="C840">
            <v>45292</v>
          </cell>
          <cell r="D840" t="str">
            <v>Always_On</v>
          </cell>
          <cell r="E840" t="str">
            <v>DE</v>
          </cell>
          <cell r="F840" t="str">
            <v>Display</v>
          </cell>
          <cell r="G840">
            <v>4050</v>
          </cell>
          <cell r="H840">
            <v>1063921</v>
          </cell>
          <cell r="I840">
            <v>197489</v>
          </cell>
          <cell r="J840">
            <v>33</v>
          </cell>
        </row>
        <row r="841">
          <cell r="A841" t="str">
            <v>Always_OnDESearch</v>
          </cell>
          <cell r="B841">
            <v>45292</v>
          </cell>
          <cell r="C841">
            <v>45292</v>
          </cell>
          <cell r="D841" t="str">
            <v>Always_On</v>
          </cell>
          <cell r="E841" t="str">
            <v>DE</v>
          </cell>
          <cell r="F841" t="str">
            <v>Search</v>
          </cell>
          <cell r="G841">
            <v>7252</v>
          </cell>
          <cell r="H841">
            <v>98032</v>
          </cell>
          <cell r="I841">
            <v>81991</v>
          </cell>
          <cell r="J841">
            <v>609</v>
          </cell>
        </row>
        <row r="842">
          <cell r="A842" t="str">
            <v>Always_OnSAYouTube</v>
          </cell>
          <cell r="B842">
            <v>45292</v>
          </cell>
          <cell r="C842">
            <v>45292</v>
          </cell>
          <cell r="D842" t="str">
            <v>Always_On</v>
          </cell>
          <cell r="E842" t="str">
            <v>SA</v>
          </cell>
          <cell r="F842" t="str">
            <v>YouTube</v>
          </cell>
          <cell r="G842">
            <v>4647</v>
          </cell>
          <cell r="H842">
            <v>374316</v>
          </cell>
          <cell r="I842">
            <v>152345</v>
          </cell>
          <cell r="J842">
            <v>602</v>
          </cell>
        </row>
        <row r="843">
          <cell r="A843" t="str">
            <v>Always_OnSASocial</v>
          </cell>
          <cell r="B843">
            <v>45292</v>
          </cell>
          <cell r="C843">
            <v>45292</v>
          </cell>
          <cell r="D843" t="str">
            <v>Always_On</v>
          </cell>
          <cell r="E843" t="str">
            <v>SA</v>
          </cell>
          <cell r="F843" t="str">
            <v>Social</v>
          </cell>
          <cell r="G843">
            <v>2295</v>
          </cell>
          <cell r="H843">
            <v>164495</v>
          </cell>
          <cell r="I843">
            <v>79739</v>
          </cell>
          <cell r="J843">
            <v>314</v>
          </cell>
        </row>
        <row r="844">
          <cell r="A844" t="str">
            <v>Always_OnSADisplay</v>
          </cell>
          <cell r="B844">
            <v>45292</v>
          </cell>
          <cell r="C844">
            <v>45292</v>
          </cell>
          <cell r="D844" t="str">
            <v>Always_On</v>
          </cell>
          <cell r="E844" t="str">
            <v>SA</v>
          </cell>
          <cell r="F844" t="str">
            <v>Display</v>
          </cell>
          <cell r="G844">
            <v>1339</v>
          </cell>
          <cell r="H844">
            <v>338436</v>
          </cell>
          <cell r="I844">
            <v>61744</v>
          </cell>
          <cell r="J844">
            <v>39</v>
          </cell>
        </row>
        <row r="845">
          <cell r="A845" t="str">
            <v>Always_OnSASearch</v>
          </cell>
          <cell r="B845">
            <v>45292</v>
          </cell>
          <cell r="C845">
            <v>45292</v>
          </cell>
          <cell r="D845" t="str">
            <v>Always_On</v>
          </cell>
          <cell r="E845" t="str">
            <v>SA</v>
          </cell>
          <cell r="F845" t="str">
            <v>Search</v>
          </cell>
          <cell r="G845">
            <v>5069</v>
          </cell>
          <cell r="H845">
            <v>54213</v>
          </cell>
          <cell r="I845">
            <v>45667</v>
          </cell>
          <cell r="J845">
            <v>1474</v>
          </cell>
        </row>
        <row r="846">
          <cell r="A846" t="str">
            <v>Always_OnEGYouTube</v>
          </cell>
          <cell r="B846">
            <v>45292</v>
          </cell>
          <cell r="C846">
            <v>45292</v>
          </cell>
          <cell r="D846" t="str">
            <v>Always_On</v>
          </cell>
          <cell r="E846" t="str">
            <v>EG</v>
          </cell>
          <cell r="F846" t="str">
            <v>YouTube</v>
          </cell>
          <cell r="G846">
            <v>3464</v>
          </cell>
          <cell r="H846">
            <v>246155</v>
          </cell>
          <cell r="I846">
            <v>107393</v>
          </cell>
          <cell r="J846">
            <v>465</v>
          </cell>
        </row>
        <row r="847">
          <cell r="A847" t="str">
            <v>Always_OnEGSocial</v>
          </cell>
          <cell r="B847">
            <v>45292</v>
          </cell>
          <cell r="C847">
            <v>45292</v>
          </cell>
          <cell r="D847" t="str">
            <v>Always_On</v>
          </cell>
          <cell r="E847" t="str">
            <v>EG</v>
          </cell>
          <cell r="F847" t="str">
            <v>Social</v>
          </cell>
          <cell r="G847">
            <v>4522</v>
          </cell>
          <cell r="H847">
            <v>403997</v>
          </cell>
          <cell r="I847">
            <v>163907</v>
          </cell>
          <cell r="J847">
            <v>601</v>
          </cell>
        </row>
        <row r="848">
          <cell r="A848" t="str">
            <v>Always_OnEGDisplay</v>
          </cell>
          <cell r="B848">
            <v>45292</v>
          </cell>
          <cell r="C848">
            <v>45292</v>
          </cell>
          <cell r="D848" t="str">
            <v>Always_On</v>
          </cell>
          <cell r="E848" t="str">
            <v>EG</v>
          </cell>
          <cell r="F848" t="str">
            <v>Display</v>
          </cell>
          <cell r="G848">
            <v>1256</v>
          </cell>
          <cell r="H848">
            <v>365575</v>
          </cell>
          <cell r="I848">
            <v>64673</v>
          </cell>
          <cell r="J848">
            <v>38</v>
          </cell>
        </row>
        <row r="849">
          <cell r="A849" t="str">
            <v>Always_OnEGSearch</v>
          </cell>
          <cell r="B849">
            <v>45292</v>
          </cell>
          <cell r="C849">
            <v>45292</v>
          </cell>
          <cell r="D849" t="str">
            <v>Always_On</v>
          </cell>
          <cell r="E849" t="str">
            <v>EG</v>
          </cell>
          <cell r="F849" t="str">
            <v>Search</v>
          </cell>
          <cell r="G849">
            <v>4152</v>
          </cell>
          <cell r="H849">
            <v>48768</v>
          </cell>
          <cell r="I849">
            <v>42046</v>
          </cell>
          <cell r="J849">
            <v>1262</v>
          </cell>
        </row>
        <row r="850">
          <cell r="A850" t="str">
            <v>NewYear_24UKYouTube</v>
          </cell>
          <cell r="B850">
            <v>45299</v>
          </cell>
          <cell r="C850">
            <v>45299</v>
          </cell>
          <cell r="D850" t="str">
            <v>NewYear_24</v>
          </cell>
          <cell r="E850" t="str">
            <v>UK</v>
          </cell>
          <cell r="F850" t="str">
            <v>YouTube</v>
          </cell>
          <cell r="G850">
            <v>22121</v>
          </cell>
          <cell r="H850">
            <v>1538213</v>
          </cell>
          <cell r="I850">
            <v>540531</v>
          </cell>
          <cell r="J850">
            <v>762</v>
          </cell>
        </row>
        <row r="851">
          <cell r="A851" t="str">
            <v>NewYear_24UKSocial</v>
          </cell>
          <cell r="B851">
            <v>45299</v>
          </cell>
          <cell r="C851">
            <v>45299</v>
          </cell>
          <cell r="D851" t="str">
            <v>NewYear_24</v>
          </cell>
          <cell r="E851" t="str">
            <v>UK</v>
          </cell>
          <cell r="F851" t="str">
            <v>Social</v>
          </cell>
          <cell r="G851">
            <v>13543</v>
          </cell>
          <cell r="H851">
            <v>893517</v>
          </cell>
          <cell r="I851">
            <v>388772</v>
          </cell>
          <cell r="J851">
            <v>479</v>
          </cell>
        </row>
        <row r="852">
          <cell r="A852" t="str">
            <v>NewYear_24UKDisplay</v>
          </cell>
          <cell r="B852">
            <v>45299</v>
          </cell>
          <cell r="C852">
            <v>45299</v>
          </cell>
          <cell r="D852" t="str">
            <v>NewYear_24</v>
          </cell>
          <cell r="E852" t="str">
            <v>UK</v>
          </cell>
          <cell r="F852" t="str">
            <v>Display</v>
          </cell>
          <cell r="G852">
            <v>9475</v>
          </cell>
          <cell r="H852">
            <v>2289636</v>
          </cell>
          <cell r="I852">
            <v>445236</v>
          </cell>
          <cell r="J852">
            <v>72</v>
          </cell>
        </row>
        <row r="853">
          <cell r="A853" t="str">
            <v>NewYear_24UKSearch</v>
          </cell>
          <cell r="B853">
            <v>45299</v>
          </cell>
          <cell r="C853">
            <v>45299</v>
          </cell>
          <cell r="D853" t="str">
            <v>NewYear_24</v>
          </cell>
          <cell r="E853" t="str">
            <v>UK</v>
          </cell>
          <cell r="F853" t="str">
            <v>Search</v>
          </cell>
          <cell r="G853">
            <v>10356</v>
          </cell>
          <cell r="H853">
            <v>143033</v>
          </cell>
          <cell r="I853">
            <v>126793</v>
          </cell>
          <cell r="J853">
            <v>944</v>
          </cell>
        </row>
        <row r="854">
          <cell r="A854" t="str">
            <v>NewYear_24DEYouTube</v>
          </cell>
          <cell r="B854">
            <v>45299</v>
          </cell>
          <cell r="C854">
            <v>45299</v>
          </cell>
          <cell r="D854" t="str">
            <v>NewYear_24</v>
          </cell>
          <cell r="E854" t="str">
            <v>DE</v>
          </cell>
          <cell r="F854" t="str">
            <v>YouTube</v>
          </cell>
          <cell r="G854">
            <v>17385</v>
          </cell>
          <cell r="H854">
            <v>1200660</v>
          </cell>
          <cell r="I854">
            <v>463329</v>
          </cell>
          <cell r="J854">
            <v>597</v>
          </cell>
        </row>
        <row r="855">
          <cell r="A855" t="str">
            <v>NewYear_24DESocial</v>
          </cell>
          <cell r="B855">
            <v>45299</v>
          </cell>
          <cell r="C855">
            <v>45299</v>
          </cell>
          <cell r="D855" t="str">
            <v>NewYear_24</v>
          </cell>
          <cell r="E855" t="str">
            <v>DE</v>
          </cell>
          <cell r="F855" t="str">
            <v>Social</v>
          </cell>
          <cell r="G855">
            <v>19477</v>
          </cell>
          <cell r="H855">
            <v>1148087</v>
          </cell>
          <cell r="I855">
            <v>454532</v>
          </cell>
          <cell r="J855">
            <v>614</v>
          </cell>
        </row>
        <row r="856">
          <cell r="A856" t="str">
            <v>NewYear_24DEDisplay</v>
          </cell>
          <cell r="B856">
            <v>45299</v>
          </cell>
          <cell r="C856">
            <v>45299</v>
          </cell>
          <cell r="D856" t="str">
            <v>NewYear_24</v>
          </cell>
          <cell r="E856" t="str">
            <v>DE</v>
          </cell>
          <cell r="F856" t="str">
            <v>Display</v>
          </cell>
          <cell r="G856">
            <v>11286</v>
          </cell>
          <cell r="H856">
            <v>2739073</v>
          </cell>
          <cell r="I856">
            <v>611667</v>
          </cell>
          <cell r="J856">
            <v>101</v>
          </cell>
        </row>
        <row r="857">
          <cell r="A857" t="str">
            <v>NewYear_24DESearch</v>
          </cell>
          <cell r="B857">
            <v>45299</v>
          </cell>
          <cell r="C857">
            <v>45299</v>
          </cell>
          <cell r="D857" t="str">
            <v>NewYear_24</v>
          </cell>
          <cell r="E857" t="str">
            <v>DE</v>
          </cell>
          <cell r="F857" t="str">
            <v>Search</v>
          </cell>
          <cell r="G857">
            <v>14963</v>
          </cell>
          <cell r="H857">
            <v>195919</v>
          </cell>
          <cell r="I857">
            <v>175633</v>
          </cell>
          <cell r="J857">
            <v>1248</v>
          </cell>
        </row>
        <row r="858">
          <cell r="A858" t="str">
            <v>NewYear_24SAYouTube</v>
          </cell>
          <cell r="B858">
            <v>45299</v>
          </cell>
          <cell r="C858">
            <v>45299</v>
          </cell>
          <cell r="D858" t="str">
            <v>NewYear_24</v>
          </cell>
          <cell r="E858" t="str">
            <v>SA</v>
          </cell>
          <cell r="F858" t="str">
            <v>YouTube</v>
          </cell>
          <cell r="G858">
            <v>13675</v>
          </cell>
          <cell r="H858">
            <v>1095951</v>
          </cell>
          <cell r="I858">
            <v>523081</v>
          </cell>
          <cell r="J858">
            <v>1714</v>
          </cell>
        </row>
        <row r="859">
          <cell r="A859" t="str">
            <v>NewYear_24SASocial</v>
          </cell>
          <cell r="B859">
            <v>45299</v>
          </cell>
          <cell r="C859">
            <v>45299</v>
          </cell>
          <cell r="D859" t="str">
            <v>NewYear_24</v>
          </cell>
          <cell r="E859" t="str">
            <v>SA</v>
          </cell>
          <cell r="F859" t="str">
            <v>Social</v>
          </cell>
          <cell r="G859">
            <v>10658</v>
          </cell>
          <cell r="H859">
            <v>715237</v>
          </cell>
          <cell r="I859">
            <v>285203</v>
          </cell>
          <cell r="J859">
            <v>1427</v>
          </cell>
        </row>
        <row r="860">
          <cell r="A860" t="str">
            <v>NewYear_24SADisplay</v>
          </cell>
          <cell r="B860">
            <v>45299</v>
          </cell>
          <cell r="C860">
            <v>45299</v>
          </cell>
          <cell r="D860" t="str">
            <v>NewYear_24</v>
          </cell>
          <cell r="E860" t="str">
            <v>SA</v>
          </cell>
          <cell r="F860" t="str">
            <v>Display</v>
          </cell>
          <cell r="G860">
            <v>7608</v>
          </cell>
          <cell r="H860">
            <v>1921493</v>
          </cell>
          <cell r="I860">
            <v>415482</v>
          </cell>
          <cell r="J860">
            <v>232</v>
          </cell>
        </row>
        <row r="861">
          <cell r="A861" t="str">
            <v>NewYear_24SASearch</v>
          </cell>
          <cell r="B861">
            <v>45299</v>
          </cell>
          <cell r="C861">
            <v>45299</v>
          </cell>
          <cell r="D861" t="str">
            <v>NewYear_24</v>
          </cell>
          <cell r="E861" t="str">
            <v>SA</v>
          </cell>
          <cell r="F861" t="str">
            <v>Search</v>
          </cell>
          <cell r="G861">
            <v>13284</v>
          </cell>
          <cell r="H861">
            <v>171796</v>
          </cell>
          <cell r="I861">
            <v>152857</v>
          </cell>
          <cell r="J861">
            <v>4349</v>
          </cell>
        </row>
        <row r="862">
          <cell r="A862" t="str">
            <v>NewYear_24EGYouTube</v>
          </cell>
          <cell r="B862">
            <v>45299</v>
          </cell>
          <cell r="C862">
            <v>45299</v>
          </cell>
          <cell r="D862" t="str">
            <v>NewYear_24</v>
          </cell>
          <cell r="E862" t="str">
            <v>EG</v>
          </cell>
          <cell r="F862" t="str">
            <v>YouTube</v>
          </cell>
          <cell r="G862">
            <v>10183</v>
          </cell>
          <cell r="H862">
            <v>814463</v>
          </cell>
          <cell r="I862">
            <v>320996</v>
          </cell>
          <cell r="J862">
            <v>1340</v>
          </cell>
        </row>
        <row r="863">
          <cell r="A863" t="str">
            <v>NewYear_24EGSocial</v>
          </cell>
          <cell r="B863">
            <v>45299</v>
          </cell>
          <cell r="C863">
            <v>45299</v>
          </cell>
          <cell r="D863" t="str">
            <v>NewYear_24</v>
          </cell>
          <cell r="E863" t="str">
            <v>EG</v>
          </cell>
          <cell r="F863" t="str">
            <v>Social</v>
          </cell>
          <cell r="G863">
            <v>10973</v>
          </cell>
          <cell r="H863">
            <v>782247</v>
          </cell>
          <cell r="I863">
            <v>365377</v>
          </cell>
          <cell r="J863">
            <v>1324</v>
          </cell>
        </row>
        <row r="864">
          <cell r="A864" t="str">
            <v>NewYear_24EGDisplay</v>
          </cell>
          <cell r="B864">
            <v>45299</v>
          </cell>
          <cell r="C864">
            <v>45299</v>
          </cell>
          <cell r="D864" t="str">
            <v>NewYear_24</v>
          </cell>
          <cell r="E864" t="str">
            <v>EG</v>
          </cell>
          <cell r="F864" t="str">
            <v>Display</v>
          </cell>
          <cell r="G864">
            <v>8814</v>
          </cell>
          <cell r="H864">
            <v>2382294</v>
          </cell>
          <cell r="I864">
            <v>591654</v>
          </cell>
          <cell r="J864">
            <v>259</v>
          </cell>
        </row>
        <row r="865">
          <cell r="A865" t="str">
            <v>NewYear_24EGSearch</v>
          </cell>
          <cell r="B865">
            <v>45299</v>
          </cell>
          <cell r="C865">
            <v>45299</v>
          </cell>
          <cell r="D865" t="str">
            <v>NewYear_24</v>
          </cell>
          <cell r="E865" t="str">
            <v>EG</v>
          </cell>
          <cell r="F865" t="str">
            <v>Search</v>
          </cell>
          <cell r="G865">
            <v>9263</v>
          </cell>
          <cell r="H865">
            <v>135916</v>
          </cell>
          <cell r="I865">
            <v>115038</v>
          </cell>
          <cell r="J865">
            <v>2693</v>
          </cell>
        </row>
        <row r="866">
          <cell r="A866" t="str">
            <v>NewYear_24UKYouTube</v>
          </cell>
          <cell r="B866">
            <v>45306</v>
          </cell>
          <cell r="C866">
            <v>45306</v>
          </cell>
          <cell r="D866" t="str">
            <v>NewYear_24</v>
          </cell>
          <cell r="E866" t="str">
            <v>UK</v>
          </cell>
          <cell r="F866" t="str">
            <v>YouTube</v>
          </cell>
          <cell r="G866">
            <v>21580</v>
          </cell>
          <cell r="H866">
            <v>1198043</v>
          </cell>
          <cell r="I866">
            <v>456264</v>
          </cell>
          <cell r="J866">
            <v>669</v>
          </cell>
        </row>
        <row r="867">
          <cell r="A867" t="str">
            <v>NewYear_24UKSocial</v>
          </cell>
          <cell r="B867">
            <v>45306</v>
          </cell>
          <cell r="C867">
            <v>45306</v>
          </cell>
          <cell r="D867" t="str">
            <v>NewYear_24</v>
          </cell>
          <cell r="E867" t="str">
            <v>UK</v>
          </cell>
          <cell r="F867" t="str">
            <v>Social</v>
          </cell>
          <cell r="G867">
            <v>24579</v>
          </cell>
          <cell r="H867">
            <v>1892265</v>
          </cell>
          <cell r="I867">
            <v>730369</v>
          </cell>
          <cell r="J867">
            <v>789</v>
          </cell>
        </row>
        <row r="868">
          <cell r="A868" t="str">
            <v>NewYear_24UKDisplay</v>
          </cell>
          <cell r="B868">
            <v>45306</v>
          </cell>
          <cell r="C868">
            <v>45306</v>
          </cell>
          <cell r="D868" t="str">
            <v>NewYear_24</v>
          </cell>
          <cell r="E868" t="str">
            <v>UK</v>
          </cell>
          <cell r="F868" t="str">
            <v>Display</v>
          </cell>
          <cell r="G868">
            <v>8659</v>
          </cell>
          <cell r="H868">
            <v>2153990</v>
          </cell>
          <cell r="I868">
            <v>419588</v>
          </cell>
          <cell r="J868">
            <v>78</v>
          </cell>
        </row>
        <row r="869">
          <cell r="A869" t="str">
            <v>NewYear_24UKSearch</v>
          </cell>
          <cell r="B869">
            <v>45306</v>
          </cell>
          <cell r="C869">
            <v>45306</v>
          </cell>
          <cell r="D869" t="str">
            <v>NewYear_24</v>
          </cell>
          <cell r="E869" t="str">
            <v>UK</v>
          </cell>
          <cell r="F869" t="str">
            <v>Search</v>
          </cell>
          <cell r="G869">
            <v>23495</v>
          </cell>
          <cell r="H869">
            <v>342502</v>
          </cell>
          <cell r="I869">
            <v>304240</v>
          </cell>
          <cell r="J869">
            <v>2066</v>
          </cell>
        </row>
        <row r="870">
          <cell r="A870" t="str">
            <v>NewYear_24DEYouTube</v>
          </cell>
          <cell r="B870">
            <v>45306</v>
          </cell>
          <cell r="C870">
            <v>45306</v>
          </cell>
          <cell r="D870" t="str">
            <v>NewYear_24</v>
          </cell>
          <cell r="E870" t="str">
            <v>DE</v>
          </cell>
          <cell r="F870" t="str">
            <v>YouTube</v>
          </cell>
          <cell r="G870">
            <v>11823</v>
          </cell>
          <cell r="H870">
            <v>1050078</v>
          </cell>
          <cell r="I870">
            <v>394238</v>
          </cell>
          <cell r="J870">
            <v>362</v>
          </cell>
        </row>
        <row r="871">
          <cell r="A871" t="str">
            <v>NewYear_24DESocial</v>
          </cell>
          <cell r="B871">
            <v>45306</v>
          </cell>
          <cell r="C871">
            <v>45306</v>
          </cell>
          <cell r="D871" t="str">
            <v>NewYear_24</v>
          </cell>
          <cell r="E871" t="str">
            <v>DE</v>
          </cell>
          <cell r="F871" t="str">
            <v>Social</v>
          </cell>
          <cell r="G871">
            <v>11605</v>
          </cell>
          <cell r="H871">
            <v>889621</v>
          </cell>
          <cell r="I871">
            <v>312206</v>
          </cell>
          <cell r="J871">
            <v>375</v>
          </cell>
        </row>
        <row r="872">
          <cell r="A872" t="str">
            <v>NewYear_24DEDisplay</v>
          </cell>
          <cell r="B872">
            <v>45306</v>
          </cell>
          <cell r="C872">
            <v>45306</v>
          </cell>
          <cell r="D872" t="str">
            <v>NewYear_24</v>
          </cell>
          <cell r="E872" t="str">
            <v>DE</v>
          </cell>
          <cell r="F872" t="str">
            <v>Display</v>
          </cell>
          <cell r="G872">
            <v>10020</v>
          </cell>
          <cell r="H872">
            <v>2686555</v>
          </cell>
          <cell r="I872">
            <v>459553</v>
          </cell>
          <cell r="J872">
            <v>88</v>
          </cell>
        </row>
        <row r="873">
          <cell r="A873" t="str">
            <v>NewYear_24DESearch</v>
          </cell>
          <cell r="B873">
            <v>45306</v>
          </cell>
          <cell r="C873">
            <v>45306</v>
          </cell>
          <cell r="D873" t="str">
            <v>NewYear_24</v>
          </cell>
          <cell r="E873" t="str">
            <v>DE</v>
          </cell>
          <cell r="F873" t="str">
            <v>Search</v>
          </cell>
          <cell r="G873">
            <v>14668</v>
          </cell>
          <cell r="H873">
            <v>171085</v>
          </cell>
          <cell r="I873">
            <v>154730</v>
          </cell>
          <cell r="J873">
            <v>1140</v>
          </cell>
        </row>
        <row r="874">
          <cell r="A874" t="str">
            <v>NewYear_24SAYouTube</v>
          </cell>
          <cell r="B874">
            <v>45306</v>
          </cell>
          <cell r="C874">
            <v>45306</v>
          </cell>
          <cell r="D874" t="str">
            <v>NewYear_24</v>
          </cell>
          <cell r="E874" t="str">
            <v>SA</v>
          </cell>
          <cell r="F874" t="str">
            <v>YouTube</v>
          </cell>
          <cell r="G874">
            <v>11257</v>
          </cell>
          <cell r="H874">
            <v>592682</v>
          </cell>
          <cell r="I874">
            <v>291740</v>
          </cell>
          <cell r="J874">
            <v>1500</v>
          </cell>
        </row>
        <row r="875">
          <cell r="A875" t="str">
            <v>NewYear_24SASocial</v>
          </cell>
          <cell r="B875">
            <v>45306</v>
          </cell>
          <cell r="C875">
            <v>45306</v>
          </cell>
          <cell r="D875" t="str">
            <v>NewYear_24</v>
          </cell>
          <cell r="E875" t="str">
            <v>SA</v>
          </cell>
          <cell r="F875" t="str">
            <v>Social</v>
          </cell>
          <cell r="G875">
            <v>12901</v>
          </cell>
          <cell r="H875">
            <v>1048653</v>
          </cell>
          <cell r="I875">
            <v>443370</v>
          </cell>
          <cell r="J875">
            <v>1534</v>
          </cell>
        </row>
        <row r="876">
          <cell r="A876" t="str">
            <v>NewYear_24SADisplay</v>
          </cell>
          <cell r="B876">
            <v>45306</v>
          </cell>
          <cell r="C876">
            <v>45306</v>
          </cell>
          <cell r="D876" t="str">
            <v>NewYear_24</v>
          </cell>
          <cell r="E876" t="str">
            <v>SA</v>
          </cell>
          <cell r="F876" t="str">
            <v>Display</v>
          </cell>
          <cell r="G876">
            <v>7729</v>
          </cell>
          <cell r="H876">
            <v>2151472</v>
          </cell>
          <cell r="I876">
            <v>454525</v>
          </cell>
          <cell r="J876">
            <v>240</v>
          </cell>
        </row>
        <row r="877">
          <cell r="A877" t="str">
            <v>NewYear_24SASearch</v>
          </cell>
          <cell r="B877">
            <v>45306</v>
          </cell>
          <cell r="C877">
            <v>45306</v>
          </cell>
          <cell r="D877" t="str">
            <v>NewYear_24</v>
          </cell>
          <cell r="E877" t="str">
            <v>SA</v>
          </cell>
          <cell r="F877" t="str">
            <v>Search</v>
          </cell>
          <cell r="G877">
            <v>6819</v>
          </cell>
          <cell r="H877">
            <v>90771</v>
          </cell>
          <cell r="I877">
            <v>81697</v>
          </cell>
          <cell r="J877">
            <v>2171</v>
          </cell>
        </row>
        <row r="878">
          <cell r="A878" t="str">
            <v>NewYear_24EGYouTube</v>
          </cell>
          <cell r="B878">
            <v>45306</v>
          </cell>
          <cell r="C878">
            <v>45306</v>
          </cell>
          <cell r="D878" t="str">
            <v>NewYear_24</v>
          </cell>
          <cell r="E878" t="str">
            <v>EG</v>
          </cell>
          <cell r="F878" t="str">
            <v>YouTube</v>
          </cell>
          <cell r="G878">
            <v>16864</v>
          </cell>
          <cell r="H878">
            <v>1110846</v>
          </cell>
          <cell r="I878">
            <v>537132</v>
          </cell>
          <cell r="J878">
            <v>2038</v>
          </cell>
        </row>
        <row r="879">
          <cell r="A879" t="str">
            <v>NewYear_24EGSocial</v>
          </cell>
          <cell r="B879">
            <v>45306</v>
          </cell>
          <cell r="C879">
            <v>45306</v>
          </cell>
          <cell r="D879" t="str">
            <v>NewYear_24</v>
          </cell>
          <cell r="E879" t="str">
            <v>EG</v>
          </cell>
          <cell r="F879" t="str">
            <v>Social</v>
          </cell>
          <cell r="G879">
            <v>15145</v>
          </cell>
          <cell r="H879">
            <v>916086</v>
          </cell>
          <cell r="I879">
            <v>415814</v>
          </cell>
          <cell r="J879">
            <v>1900</v>
          </cell>
        </row>
        <row r="880">
          <cell r="A880" t="str">
            <v>NewYear_24EGDisplay</v>
          </cell>
          <cell r="B880">
            <v>45306</v>
          </cell>
          <cell r="C880">
            <v>45306</v>
          </cell>
          <cell r="D880" t="str">
            <v>NewYear_24</v>
          </cell>
          <cell r="E880" t="str">
            <v>EG</v>
          </cell>
          <cell r="F880" t="str">
            <v>Display</v>
          </cell>
          <cell r="G880">
            <v>5591</v>
          </cell>
          <cell r="H880">
            <v>1631322</v>
          </cell>
          <cell r="I880">
            <v>283143</v>
          </cell>
          <cell r="J880">
            <v>170</v>
          </cell>
        </row>
        <row r="881">
          <cell r="A881" t="str">
            <v>NewYear_24EGSearch</v>
          </cell>
          <cell r="B881">
            <v>45306</v>
          </cell>
          <cell r="C881">
            <v>45306</v>
          </cell>
          <cell r="D881" t="str">
            <v>NewYear_24</v>
          </cell>
          <cell r="E881" t="str">
            <v>EG</v>
          </cell>
          <cell r="F881" t="str">
            <v>Search</v>
          </cell>
          <cell r="G881">
            <v>11453</v>
          </cell>
          <cell r="H881">
            <v>168786</v>
          </cell>
          <cell r="I881">
            <v>152143</v>
          </cell>
          <cell r="J881">
            <v>3324</v>
          </cell>
        </row>
        <row r="882">
          <cell r="A882" t="str">
            <v>NewYear_24UKYouTube</v>
          </cell>
          <cell r="B882">
            <v>45313</v>
          </cell>
          <cell r="C882">
            <v>45313</v>
          </cell>
          <cell r="D882" t="str">
            <v>NewYear_24</v>
          </cell>
          <cell r="E882" t="str">
            <v>UK</v>
          </cell>
          <cell r="F882" t="str">
            <v>YouTube</v>
          </cell>
          <cell r="G882">
            <v>21855</v>
          </cell>
          <cell r="H882">
            <v>1269421</v>
          </cell>
          <cell r="I882">
            <v>435573</v>
          </cell>
          <cell r="J882">
            <v>706</v>
          </cell>
        </row>
        <row r="883">
          <cell r="A883" t="str">
            <v>NewYear_24UKSocial</v>
          </cell>
          <cell r="B883">
            <v>45313</v>
          </cell>
          <cell r="C883">
            <v>45313</v>
          </cell>
          <cell r="D883" t="str">
            <v>NewYear_24</v>
          </cell>
          <cell r="E883" t="str">
            <v>UK</v>
          </cell>
          <cell r="F883" t="str">
            <v>Social</v>
          </cell>
          <cell r="G883">
            <v>18381</v>
          </cell>
          <cell r="H883">
            <v>1003374</v>
          </cell>
          <cell r="I883">
            <v>427738</v>
          </cell>
          <cell r="J883">
            <v>629</v>
          </cell>
        </row>
        <row r="884">
          <cell r="A884" t="str">
            <v>NewYear_24UKDisplay</v>
          </cell>
          <cell r="B884">
            <v>45313</v>
          </cell>
          <cell r="C884">
            <v>45313</v>
          </cell>
          <cell r="D884" t="str">
            <v>NewYear_24</v>
          </cell>
          <cell r="E884" t="str">
            <v>UK</v>
          </cell>
          <cell r="F884" t="str">
            <v>Display</v>
          </cell>
          <cell r="G884">
            <v>8893</v>
          </cell>
          <cell r="H884">
            <v>2400879</v>
          </cell>
          <cell r="I884">
            <v>413535</v>
          </cell>
          <cell r="J884">
            <v>80</v>
          </cell>
        </row>
        <row r="885">
          <cell r="A885" t="str">
            <v>NewYear_24UKSearch</v>
          </cell>
          <cell r="B885">
            <v>45313</v>
          </cell>
          <cell r="C885">
            <v>45313</v>
          </cell>
          <cell r="D885" t="str">
            <v>NewYear_24</v>
          </cell>
          <cell r="E885" t="str">
            <v>UK</v>
          </cell>
          <cell r="F885" t="str">
            <v>Search</v>
          </cell>
          <cell r="G885">
            <v>15505</v>
          </cell>
          <cell r="H885">
            <v>190096</v>
          </cell>
          <cell r="I885">
            <v>172043</v>
          </cell>
          <cell r="J885">
            <v>1211</v>
          </cell>
        </row>
        <row r="886">
          <cell r="A886" t="str">
            <v>NewYear_24DEYouTube</v>
          </cell>
          <cell r="B886">
            <v>45313</v>
          </cell>
          <cell r="C886">
            <v>45313</v>
          </cell>
          <cell r="D886" t="str">
            <v>NewYear_24</v>
          </cell>
          <cell r="E886" t="str">
            <v>DE</v>
          </cell>
          <cell r="F886" t="str">
            <v>YouTube</v>
          </cell>
          <cell r="G886">
            <v>13256</v>
          </cell>
          <cell r="H886">
            <v>962936</v>
          </cell>
          <cell r="I886">
            <v>375597</v>
          </cell>
          <cell r="J886">
            <v>404</v>
          </cell>
        </row>
        <row r="887">
          <cell r="A887" t="str">
            <v>NewYear_24DESocial</v>
          </cell>
          <cell r="B887">
            <v>45313</v>
          </cell>
          <cell r="C887">
            <v>45313</v>
          </cell>
          <cell r="D887" t="str">
            <v>NewYear_24</v>
          </cell>
          <cell r="E887" t="str">
            <v>DE</v>
          </cell>
          <cell r="F887" t="str">
            <v>Social</v>
          </cell>
          <cell r="G887">
            <v>11694</v>
          </cell>
          <cell r="H887">
            <v>816494</v>
          </cell>
          <cell r="I887">
            <v>306119</v>
          </cell>
          <cell r="J887">
            <v>402</v>
          </cell>
        </row>
        <row r="888">
          <cell r="A888" t="str">
            <v>NewYear_24DEDisplay</v>
          </cell>
          <cell r="B888">
            <v>45313</v>
          </cell>
          <cell r="C888">
            <v>45313</v>
          </cell>
          <cell r="D888" t="str">
            <v>NewYear_24</v>
          </cell>
          <cell r="E888" t="str">
            <v>DE</v>
          </cell>
          <cell r="F888" t="str">
            <v>Display</v>
          </cell>
          <cell r="G888">
            <v>15330</v>
          </cell>
          <cell r="H888">
            <v>4369702</v>
          </cell>
          <cell r="I888">
            <v>963644</v>
          </cell>
          <cell r="J888">
            <v>119</v>
          </cell>
        </row>
        <row r="889">
          <cell r="A889" t="str">
            <v>NewYear_24DESearch</v>
          </cell>
          <cell r="B889">
            <v>45313</v>
          </cell>
          <cell r="C889">
            <v>45313</v>
          </cell>
          <cell r="D889" t="str">
            <v>NewYear_24</v>
          </cell>
          <cell r="E889" t="str">
            <v>DE</v>
          </cell>
          <cell r="F889" t="str">
            <v>Search</v>
          </cell>
          <cell r="G889">
            <v>27728</v>
          </cell>
          <cell r="H889">
            <v>293361</v>
          </cell>
          <cell r="I889">
            <v>246068</v>
          </cell>
          <cell r="J889">
            <v>2302</v>
          </cell>
        </row>
        <row r="890">
          <cell r="A890" t="str">
            <v>NewYear_24SAYouTube</v>
          </cell>
          <cell r="B890">
            <v>45313</v>
          </cell>
          <cell r="C890">
            <v>45313</v>
          </cell>
          <cell r="D890" t="str">
            <v>NewYear_24</v>
          </cell>
          <cell r="E890" t="str">
            <v>SA</v>
          </cell>
          <cell r="F890" t="str">
            <v>YouTube</v>
          </cell>
          <cell r="G890">
            <v>6548</v>
          </cell>
          <cell r="H890">
            <v>356822</v>
          </cell>
          <cell r="I890">
            <v>123786</v>
          </cell>
          <cell r="J890">
            <v>848</v>
          </cell>
        </row>
        <row r="891">
          <cell r="A891" t="str">
            <v>NewYear_24SASocial</v>
          </cell>
          <cell r="B891">
            <v>45313</v>
          </cell>
          <cell r="C891">
            <v>45313</v>
          </cell>
          <cell r="D891" t="str">
            <v>NewYear_24</v>
          </cell>
          <cell r="E891" t="str">
            <v>SA</v>
          </cell>
          <cell r="F891" t="str">
            <v>Social</v>
          </cell>
          <cell r="G891">
            <v>12825</v>
          </cell>
          <cell r="H891">
            <v>1063214</v>
          </cell>
          <cell r="I891">
            <v>360331</v>
          </cell>
          <cell r="J891">
            <v>1541</v>
          </cell>
        </row>
        <row r="892">
          <cell r="A892" t="str">
            <v>NewYear_24SADisplay</v>
          </cell>
          <cell r="B892">
            <v>45313</v>
          </cell>
          <cell r="C892">
            <v>45313</v>
          </cell>
          <cell r="D892" t="str">
            <v>NewYear_24</v>
          </cell>
          <cell r="E892" t="str">
            <v>SA</v>
          </cell>
          <cell r="F892" t="str">
            <v>Display</v>
          </cell>
          <cell r="G892">
            <v>5559</v>
          </cell>
          <cell r="H892">
            <v>1168428</v>
          </cell>
          <cell r="I892">
            <v>236432</v>
          </cell>
          <cell r="J892">
            <v>160</v>
          </cell>
        </row>
        <row r="893">
          <cell r="A893" t="str">
            <v>NewYear_24SASearch</v>
          </cell>
          <cell r="B893">
            <v>45313</v>
          </cell>
          <cell r="C893">
            <v>45313</v>
          </cell>
          <cell r="D893" t="str">
            <v>NewYear_24</v>
          </cell>
          <cell r="E893" t="str">
            <v>SA</v>
          </cell>
          <cell r="F893" t="str">
            <v>Search</v>
          </cell>
          <cell r="G893">
            <v>10892</v>
          </cell>
          <cell r="H893">
            <v>149383</v>
          </cell>
          <cell r="I893">
            <v>134275</v>
          </cell>
          <cell r="J893">
            <v>3217</v>
          </cell>
        </row>
        <row r="894">
          <cell r="A894" t="str">
            <v>NewYear_24EGYouTube</v>
          </cell>
          <cell r="B894">
            <v>45313</v>
          </cell>
          <cell r="C894">
            <v>45313</v>
          </cell>
          <cell r="D894" t="str">
            <v>NewYear_24</v>
          </cell>
          <cell r="E894" t="str">
            <v>EG</v>
          </cell>
          <cell r="F894" t="str">
            <v>YouTube</v>
          </cell>
          <cell r="G894">
            <v>15065</v>
          </cell>
          <cell r="H894">
            <v>912323</v>
          </cell>
          <cell r="I894">
            <v>382719</v>
          </cell>
          <cell r="J894">
            <v>2037</v>
          </cell>
        </row>
        <row r="895">
          <cell r="A895" t="str">
            <v>NewYear_24EGSocial</v>
          </cell>
          <cell r="B895">
            <v>45313</v>
          </cell>
          <cell r="C895">
            <v>45313</v>
          </cell>
          <cell r="D895" t="str">
            <v>NewYear_24</v>
          </cell>
          <cell r="E895" t="str">
            <v>EG</v>
          </cell>
          <cell r="F895" t="str">
            <v>Social</v>
          </cell>
          <cell r="G895">
            <v>15939</v>
          </cell>
          <cell r="H895">
            <v>843185</v>
          </cell>
          <cell r="I895">
            <v>301830</v>
          </cell>
          <cell r="J895">
            <v>1987</v>
          </cell>
        </row>
        <row r="896">
          <cell r="A896" t="str">
            <v>NewYear_24EGDisplay</v>
          </cell>
          <cell r="B896">
            <v>45313</v>
          </cell>
          <cell r="C896">
            <v>45313</v>
          </cell>
          <cell r="D896" t="str">
            <v>NewYear_24</v>
          </cell>
          <cell r="E896" t="str">
            <v>EG</v>
          </cell>
          <cell r="F896" t="str">
            <v>Display</v>
          </cell>
          <cell r="G896">
            <v>5634</v>
          </cell>
          <cell r="H896">
            <v>1453815</v>
          </cell>
          <cell r="I896">
            <v>359650</v>
          </cell>
          <cell r="J896">
            <v>195</v>
          </cell>
        </row>
        <row r="897">
          <cell r="A897" t="str">
            <v>NewYear_24EGSearch</v>
          </cell>
          <cell r="B897">
            <v>45313</v>
          </cell>
          <cell r="C897">
            <v>45313</v>
          </cell>
          <cell r="D897" t="str">
            <v>NewYear_24</v>
          </cell>
          <cell r="E897" t="str">
            <v>EG</v>
          </cell>
          <cell r="F897" t="str">
            <v>Search</v>
          </cell>
          <cell r="G897">
            <v>9005</v>
          </cell>
          <cell r="H897">
            <v>105871</v>
          </cell>
          <cell r="I897">
            <v>88406</v>
          </cell>
          <cell r="J897">
            <v>2952</v>
          </cell>
        </row>
        <row r="898">
          <cell r="A898" t="str">
            <v>NewYear_24UKYouTube</v>
          </cell>
          <cell r="B898">
            <v>45320</v>
          </cell>
          <cell r="C898">
            <v>45320</v>
          </cell>
          <cell r="D898" t="str">
            <v>NewYear_24</v>
          </cell>
          <cell r="E898" t="str">
            <v>UK</v>
          </cell>
          <cell r="F898" t="str">
            <v>YouTube</v>
          </cell>
          <cell r="G898">
            <v>10774</v>
          </cell>
          <cell r="H898">
            <v>954858</v>
          </cell>
          <cell r="I898">
            <v>435554</v>
          </cell>
          <cell r="J898">
            <v>358</v>
          </cell>
        </row>
        <row r="899">
          <cell r="A899" t="str">
            <v>NewYear_24UKSocial</v>
          </cell>
          <cell r="B899">
            <v>45320</v>
          </cell>
          <cell r="C899">
            <v>45320</v>
          </cell>
          <cell r="D899" t="str">
            <v>NewYear_24</v>
          </cell>
          <cell r="E899" t="str">
            <v>UK</v>
          </cell>
          <cell r="F899" t="str">
            <v>Social</v>
          </cell>
          <cell r="G899">
            <v>20654</v>
          </cell>
          <cell r="H899">
            <v>1379255</v>
          </cell>
          <cell r="I899">
            <v>599295</v>
          </cell>
          <cell r="J899">
            <v>651</v>
          </cell>
        </row>
        <row r="900">
          <cell r="A900" t="str">
            <v>NewYear_24UKDisplay</v>
          </cell>
          <cell r="B900">
            <v>45320</v>
          </cell>
          <cell r="C900">
            <v>45320</v>
          </cell>
          <cell r="D900" t="str">
            <v>NewYear_24</v>
          </cell>
          <cell r="E900" t="str">
            <v>UK</v>
          </cell>
          <cell r="F900" t="str">
            <v>Display</v>
          </cell>
          <cell r="G900">
            <v>13063</v>
          </cell>
          <cell r="H900">
            <v>3072367</v>
          </cell>
          <cell r="I900">
            <v>548952</v>
          </cell>
          <cell r="J900">
            <v>116</v>
          </cell>
        </row>
        <row r="901">
          <cell r="A901" t="str">
            <v>NewYear_24UKSearch</v>
          </cell>
          <cell r="B901">
            <v>45320</v>
          </cell>
          <cell r="C901">
            <v>45320</v>
          </cell>
          <cell r="D901" t="str">
            <v>NewYear_24</v>
          </cell>
          <cell r="E901" t="str">
            <v>UK</v>
          </cell>
          <cell r="F901" t="str">
            <v>Search</v>
          </cell>
          <cell r="G901">
            <v>12389</v>
          </cell>
          <cell r="H901">
            <v>167850</v>
          </cell>
          <cell r="I901">
            <v>142646</v>
          </cell>
          <cell r="J901">
            <v>1039</v>
          </cell>
        </row>
        <row r="902">
          <cell r="A902" t="str">
            <v>NewYear_24DEYouTube</v>
          </cell>
          <cell r="B902">
            <v>45320</v>
          </cell>
          <cell r="C902">
            <v>45320</v>
          </cell>
          <cell r="D902" t="str">
            <v>NewYear_24</v>
          </cell>
          <cell r="E902" t="str">
            <v>DE</v>
          </cell>
          <cell r="F902" t="str">
            <v>YouTube</v>
          </cell>
          <cell r="G902">
            <v>11063</v>
          </cell>
          <cell r="H902">
            <v>672670</v>
          </cell>
          <cell r="I902">
            <v>227770</v>
          </cell>
          <cell r="J902">
            <v>336</v>
          </cell>
        </row>
        <row r="903">
          <cell r="A903" t="str">
            <v>NewYear_24DESocial</v>
          </cell>
          <cell r="B903">
            <v>45320</v>
          </cell>
          <cell r="C903">
            <v>45320</v>
          </cell>
          <cell r="D903" t="str">
            <v>NewYear_24</v>
          </cell>
          <cell r="E903" t="str">
            <v>DE</v>
          </cell>
          <cell r="F903" t="str">
            <v>Social</v>
          </cell>
          <cell r="G903">
            <v>15972</v>
          </cell>
          <cell r="H903">
            <v>1432407</v>
          </cell>
          <cell r="I903">
            <v>497331</v>
          </cell>
          <cell r="J903">
            <v>493</v>
          </cell>
        </row>
        <row r="904">
          <cell r="A904" t="str">
            <v>NewYear_24DEDisplay</v>
          </cell>
          <cell r="B904">
            <v>45320</v>
          </cell>
          <cell r="C904">
            <v>45320</v>
          </cell>
          <cell r="D904" t="str">
            <v>NewYear_24</v>
          </cell>
          <cell r="E904" t="str">
            <v>DE</v>
          </cell>
          <cell r="F904" t="str">
            <v>Display</v>
          </cell>
          <cell r="G904">
            <v>13402</v>
          </cell>
          <cell r="H904">
            <v>2716937</v>
          </cell>
          <cell r="I904">
            <v>552905</v>
          </cell>
          <cell r="J904">
            <v>111</v>
          </cell>
        </row>
        <row r="905">
          <cell r="A905" t="str">
            <v>NewYear_24DESearch</v>
          </cell>
          <cell r="B905">
            <v>45320</v>
          </cell>
          <cell r="C905">
            <v>45320</v>
          </cell>
          <cell r="D905" t="str">
            <v>NewYear_24</v>
          </cell>
          <cell r="E905" t="str">
            <v>DE</v>
          </cell>
          <cell r="F905" t="str">
            <v>Search</v>
          </cell>
          <cell r="G905">
            <v>22947</v>
          </cell>
          <cell r="H905">
            <v>235294</v>
          </cell>
          <cell r="I905">
            <v>211413</v>
          </cell>
          <cell r="J905">
            <v>1903</v>
          </cell>
        </row>
        <row r="906">
          <cell r="A906" t="str">
            <v>NewYear_24SAYouTube</v>
          </cell>
          <cell r="B906">
            <v>45320</v>
          </cell>
          <cell r="C906">
            <v>45320</v>
          </cell>
          <cell r="D906" t="str">
            <v>NewYear_24</v>
          </cell>
          <cell r="E906" t="str">
            <v>SA</v>
          </cell>
          <cell r="F906" t="str">
            <v>YouTube</v>
          </cell>
          <cell r="G906">
            <v>12250</v>
          </cell>
          <cell r="H906">
            <v>1038532</v>
          </cell>
          <cell r="I906">
            <v>492462</v>
          </cell>
          <cell r="J906">
            <v>1480</v>
          </cell>
        </row>
        <row r="907">
          <cell r="A907" t="str">
            <v>NewYear_24SASocial</v>
          </cell>
          <cell r="B907">
            <v>45320</v>
          </cell>
          <cell r="C907">
            <v>45320</v>
          </cell>
          <cell r="D907" t="str">
            <v>NewYear_24</v>
          </cell>
          <cell r="E907" t="str">
            <v>SA</v>
          </cell>
          <cell r="F907" t="str">
            <v>Social</v>
          </cell>
          <cell r="G907">
            <v>7005</v>
          </cell>
          <cell r="H907">
            <v>438478</v>
          </cell>
          <cell r="I907">
            <v>186469</v>
          </cell>
          <cell r="J907">
            <v>895</v>
          </cell>
        </row>
        <row r="908">
          <cell r="A908" t="str">
            <v>NewYear_24SADisplay</v>
          </cell>
          <cell r="B908">
            <v>45320</v>
          </cell>
          <cell r="C908">
            <v>45320</v>
          </cell>
          <cell r="D908" t="str">
            <v>NewYear_24</v>
          </cell>
          <cell r="E908" t="str">
            <v>SA</v>
          </cell>
          <cell r="F908" t="str">
            <v>Display</v>
          </cell>
          <cell r="G908">
            <v>8705</v>
          </cell>
          <cell r="H908">
            <v>2580371</v>
          </cell>
          <cell r="I908">
            <v>487166</v>
          </cell>
          <cell r="J908">
            <v>296</v>
          </cell>
        </row>
        <row r="909">
          <cell r="A909" t="str">
            <v>NewYear_24SASearch</v>
          </cell>
          <cell r="B909">
            <v>45320</v>
          </cell>
          <cell r="C909">
            <v>45320</v>
          </cell>
          <cell r="D909" t="str">
            <v>NewYear_24</v>
          </cell>
          <cell r="E909" t="str">
            <v>SA</v>
          </cell>
          <cell r="F909" t="str">
            <v>Search</v>
          </cell>
          <cell r="G909">
            <v>15116</v>
          </cell>
          <cell r="H909">
            <v>163596</v>
          </cell>
          <cell r="I909">
            <v>140530</v>
          </cell>
          <cell r="J909">
            <v>4439</v>
          </cell>
        </row>
        <row r="910">
          <cell r="A910" t="str">
            <v>NewYear_24EGYouTube</v>
          </cell>
          <cell r="B910">
            <v>45320</v>
          </cell>
          <cell r="C910">
            <v>45320</v>
          </cell>
          <cell r="D910" t="str">
            <v>NewYear_24</v>
          </cell>
          <cell r="E910" t="str">
            <v>EG</v>
          </cell>
          <cell r="F910" t="str">
            <v>YouTube</v>
          </cell>
          <cell r="G910">
            <v>9834</v>
          </cell>
          <cell r="H910">
            <v>646465</v>
          </cell>
          <cell r="I910">
            <v>252521</v>
          </cell>
          <cell r="J910">
            <v>1190</v>
          </cell>
        </row>
        <row r="911">
          <cell r="A911" t="str">
            <v>NewYear_24EGSocial</v>
          </cell>
          <cell r="B911">
            <v>45320</v>
          </cell>
          <cell r="C911">
            <v>45320</v>
          </cell>
          <cell r="D911" t="str">
            <v>NewYear_24</v>
          </cell>
          <cell r="E911" t="str">
            <v>EG</v>
          </cell>
          <cell r="F911" t="str">
            <v>Social</v>
          </cell>
          <cell r="G911">
            <v>9265</v>
          </cell>
          <cell r="H911">
            <v>572315</v>
          </cell>
          <cell r="I911">
            <v>261395</v>
          </cell>
          <cell r="J911">
            <v>1273</v>
          </cell>
        </row>
        <row r="912">
          <cell r="A912" t="str">
            <v>NewYear_24EGDisplay</v>
          </cell>
          <cell r="B912">
            <v>45320</v>
          </cell>
          <cell r="C912">
            <v>45320</v>
          </cell>
          <cell r="D912" t="str">
            <v>NewYear_24</v>
          </cell>
          <cell r="E912" t="str">
            <v>EG</v>
          </cell>
          <cell r="F912" t="str">
            <v>Display</v>
          </cell>
          <cell r="G912">
            <v>9492</v>
          </cell>
          <cell r="H912">
            <v>2462695</v>
          </cell>
          <cell r="I912">
            <v>548938</v>
          </cell>
          <cell r="J912">
            <v>286</v>
          </cell>
        </row>
        <row r="913">
          <cell r="A913" t="str">
            <v>NewYear_24EGSearch</v>
          </cell>
          <cell r="B913">
            <v>45320</v>
          </cell>
          <cell r="C913">
            <v>45320</v>
          </cell>
          <cell r="D913" t="str">
            <v>NewYear_24</v>
          </cell>
          <cell r="E913" t="str">
            <v>EG</v>
          </cell>
          <cell r="F913" t="str">
            <v>Search</v>
          </cell>
          <cell r="G913">
            <v>16513</v>
          </cell>
          <cell r="H913">
            <v>165759</v>
          </cell>
          <cell r="I913">
            <v>142119</v>
          </cell>
          <cell r="J913">
            <v>4992</v>
          </cell>
        </row>
        <row r="914">
          <cell r="A914" t="str">
            <v>Always_OnUKYouTube</v>
          </cell>
          <cell r="B914">
            <v>45327</v>
          </cell>
          <cell r="C914">
            <v>45327</v>
          </cell>
          <cell r="D914" t="str">
            <v>Always_On</v>
          </cell>
          <cell r="E914" t="str">
            <v>UK</v>
          </cell>
          <cell r="F914" t="str">
            <v>YouTube</v>
          </cell>
          <cell r="G914">
            <v>7079</v>
          </cell>
          <cell r="H914">
            <v>456942</v>
          </cell>
          <cell r="I914">
            <v>174844</v>
          </cell>
          <cell r="J914">
            <v>239</v>
          </cell>
        </row>
        <row r="915">
          <cell r="A915" t="str">
            <v>Always_OnUKSocial</v>
          </cell>
          <cell r="B915">
            <v>45327</v>
          </cell>
          <cell r="C915">
            <v>45327</v>
          </cell>
          <cell r="D915" t="str">
            <v>Always_On</v>
          </cell>
          <cell r="E915" t="str">
            <v>UK</v>
          </cell>
          <cell r="F915" t="str">
            <v>Social</v>
          </cell>
          <cell r="G915">
            <v>4876</v>
          </cell>
          <cell r="H915">
            <v>299378</v>
          </cell>
          <cell r="I915">
            <v>111545</v>
          </cell>
          <cell r="J915">
            <v>164</v>
          </cell>
        </row>
        <row r="916">
          <cell r="A916" t="str">
            <v>Always_OnUKDisplay</v>
          </cell>
          <cell r="B916">
            <v>45327</v>
          </cell>
          <cell r="C916">
            <v>45327</v>
          </cell>
          <cell r="D916" t="str">
            <v>Always_On</v>
          </cell>
          <cell r="E916" t="str">
            <v>UK</v>
          </cell>
          <cell r="F916" t="str">
            <v>Display</v>
          </cell>
          <cell r="G916">
            <v>4116</v>
          </cell>
          <cell r="H916">
            <v>1061143</v>
          </cell>
          <cell r="I916">
            <v>209440</v>
          </cell>
          <cell r="J916">
            <v>34</v>
          </cell>
        </row>
        <row r="917">
          <cell r="A917" t="str">
            <v>Always_OnUKSearch</v>
          </cell>
          <cell r="B917">
            <v>45327</v>
          </cell>
          <cell r="C917">
            <v>45327</v>
          </cell>
          <cell r="D917" t="str">
            <v>Always_On</v>
          </cell>
          <cell r="E917" t="str">
            <v>UK</v>
          </cell>
          <cell r="F917" t="str">
            <v>Search</v>
          </cell>
          <cell r="G917">
            <v>5471</v>
          </cell>
          <cell r="H917">
            <v>55482</v>
          </cell>
          <cell r="I917">
            <v>47678</v>
          </cell>
          <cell r="J917">
            <v>420</v>
          </cell>
        </row>
        <row r="918">
          <cell r="A918" t="str">
            <v>Always_OnDEYouTube</v>
          </cell>
          <cell r="B918">
            <v>45327</v>
          </cell>
          <cell r="C918">
            <v>45327</v>
          </cell>
          <cell r="D918" t="str">
            <v>Always_On</v>
          </cell>
          <cell r="E918" t="str">
            <v>DE</v>
          </cell>
          <cell r="F918" t="str">
            <v>YouTube</v>
          </cell>
          <cell r="G918">
            <v>5172</v>
          </cell>
          <cell r="H918">
            <v>330828</v>
          </cell>
          <cell r="I918">
            <v>116228</v>
          </cell>
          <cell r="J918">
            <v>162</v>
          </cell>
        </row>
        <row r="919">
          <cell r="A919" t="str">
            <v>Always_OnDESocial</v>
          </cell>
          <cell r="B919">
            <v>45327</v>
          </cell>
          <cell r="C919">
            <v>45327</v>
          </cell>
          <cell r="D919" t="str">
            <v>Always_On</v>
          </cell>
          <cell r="E919" t="str">
            <v>DE</v>
          </cell>
          <cell r="F919" t="str">
            <v>Social</v>
          </cell>
          <cell r="G919">
            <v>5537</v>
          </cell>
          <cell r="H919">
            <v>285770</v>
          </cell>
          <cell r="I919">
            <v>108164</v>
          </cell>
          <cell r="J919">
            <v>181</v>
          </cell>
        </row>
        <row r="920">
          <cell r="A920" t="str">
            <v>Always_OnDEDisplay</v>
          </cell>
          <cell r="B920">
            <v>45327</v>
          </cell>
          <cell r="C920">
            <v>45327</v>
          </cell>
          <cell r="D920" t="str">
            <v>Always_On</v>
          </cell>
          <cell r="E920" t="str">
            <v>DE</v>
          </cell>
          <cell r="F920" t="str">
            <v>Display</v>
          </cell>
          <cell r="G920">
            <v>3044</v>
          </cell>
          <cell r="H920">
            <v>645924</v>
          </cell>
          <cell r="I920">
            <v>153719</v>
          </cell>
          <cell r="J920">
            <v>23</v>
          </cell>
        </row>
        <row r="921">
          <cell r="A921" t="str">
            <v>Always_OnDESearch</v>
          </cell>
          <cell r="B921">
            <v>45327</v>
          </cell>
          <cell r="C921">
            <v>45327</v>
          </cell>
          <cell r="D921" t="str">
            <v>Always_On</v>
          </cell>
          <cell r="E921" t="str">
            <v>DE</v>
          </cell>
          <cell r="F921" t="str">
            <v>Search</v>
          </cell>
          <cell r="G921">
            <v>4751</v>
          </cell>
          <cell r="H921">
            <v>55391</v>
          </cell>
          <cell r="I921">
            <v>48411</v>
          </cell>
          <cell r="J921">
            <v>393</v>
          </cell>
        </row>
        <row r="922">
          <cell r="A922" t="str">
            <v>Always_OnSAYouTube</v>
          </cell>
          <cell r="B922">
            <v>45327</v>
          </cell>
          <cell r="C922">
            <v>45327</v>
          </cell>
          <cell r="D922" t="str">
            <v>Always_On</v>
          </cell>
          <cell r="E922" t="str">
            <v>SA</v>
          </cell>
          <cell r="F922" t="str">
            <v>YouTube</v>
          </cell>
          <cell r="G922">
            <v>2189</v>
          </cell>
          <cell r="H922">
            <v>180859</v>
          </cell>
          <cell r="I922">
            <v>84597</v>
          </cell>
          <cell r="J922">
            <v>298</v>
          </cell>
        </row>
        <row r="923">
          <cell r="A923" t="str">
            <v>Always_OnSASocial</v>
          </cell>
          <cell r="B923">
            <v>45327</v>
          </cell>
          <cell r="C923">
            <v>45327</v>
          </cell>
          <cell r="D923" t="str">
            <v>Always_On</v>
          </cell>
          <cell r="E923" t="str">
            <v>SA</v>
          </cell>
          <cell r="F923" t="str">
            <v>Social</v>
          </cell>
          <cell r="G923">
            <v>3094</v>
          </cell>
          <cell r="H923">
            <v>268877</v>
          </cell>
          <cell r="I923">
            <v>98418</v>
          </cell>
          <cell r="J923">
            <v>386</v>
          </cell>
        </row>
        <row r="924">
          <cell r="A924" t="str">
            <v>Always_OnSADisplay</v>
          </cell>
          <cell r="B924">
            <v>45327</v>
          </cell>
          <cell r="C924">
            <v>45327</v>
          </cell>
          <cell r="D924" t="str">
            <v>Always_On</v>
          </cell>
          <cell r="E924" t="str">
            <v>SA</v>
          </cell>
          <cell r="F924" t="str">
            <v>Display</v>
          </cell>
          <cell r="G924">
            <v>1602</v>
          </cell>
          <cell r="H924">
            <v>469030</v>
          </cell>
          <cell r="I924">
            <v>98987</v>
          </cell>
          <cell r="J924">
            <v>52</v>
          </cell>
        </row>
        <row r="925">
          <cell r="A925" t="str">
            <v>Always_OnSASearch</v>
          </cell>
          <cell r="B925">
            <v>45327</v>
          </cell>
          <cell r="C925">
            <v>45327</v>
          </cell>
          <cell r="D925" t="str">
            <v>Always_On</v>
          </cell>
          <cell r="E925" t="str">
            <v>SA</v>
          </cell>
          <cell r="F925" t="str">
            <v>Search</v>
          </cell>
          <cell r="G925">
            <v>3789</v>
          </cell>
          <cell r="H925">
            <v>40770</v>
          </cell>
          <cell r="I925">
            <v>36489</v>
          </cell>
          <cell r="J925">
            <v>1124</v>
          </cell>
        </row>
        <row r="926">
          <cell r="A926" t="str">
            <v>Always_OnEGYouTube</v>
          </cell>
          <cell r="B926">
            <v>45327</v>
          </cell>
          <cell r="C926">
            <v>45327</v>
          </cell>
          <cell r="D926" t="str">
            <v>Always_On</v>
          </cell>
          <cell r="E926" t="str">
            <v>EG</v>
          </cell>
          <cell r="F926" t="str">
            <v>YouTube</v>
          </cell>
          <cell r="G926">
            <v>2079</v>
          </cell>
          <cell r="H926">
            <v>143057</v>
          </cell>
          <cell r="I926">
            <v>70252</v>
          </cell>
          <cell r="J926">
            <v>251</v>
          </cell>
        </row>
        <row r="927">
          <cell r="A927" t="str">
            <v>Always_OnEGSocial</v>
          </cell>
          <cell r="B927">
            <v>45327</v>
          </cell>
          <cell r="C927">
            <v>45327</v>
          </cell>
          <cell r="D927" t="str">
            <v>Always_On</v>
          </cell>
          <cell r="E927" t="str">
            <v>EG</v>
          </cell>
          <cell r="F927" t="str">
            <v>Social</v>
          </cell>
          <cell r="G927">
            <v>2264</v>
          </cell>
          <cell r="H927">
            <v>138015</v>
          </cell>
          <cell r="I927">
            <v>49315</v>
          </cell>
          <cell r="J927">
            <v>306</v>
          </cell>
        </row>
        <row r="928">
          <cell r="A928" t="str">
            <v>Always_OnEGDisplay</v>
          </cell>
          <cell r="B928">
            <v>45327</v>
          </cell>
          <cell r="C928">
            <v>45327</v>
          </cell>
          <cell r="D928" t="str">
            <v>Always_On</v>
          </cell>
          <cell r="E928" t="str">
            <v>EG</v>
          </cell>
          <cell r="F928" t="str">
            <v>Display</v>
          </cell>
          <cell r="G928">
            <v>3062</v>
          </cell>
          <cell r="H928">
            <v>733170</v>
          </cell>
          <cell r="I928">
            <v>145794</v>
          </cell>
          <cell r="J928">
            <v>89</v>
          </cell>
        </row>
        <row r="929">
          <cell r="A929" t="str">
            <v>Always_OnEGSearch</v>
          </cell>
          <cell r="B929">
            <v>45327</v>
          </cell>
          <cell r="C929">
            <v>45327</v>
          </cell>
          <cell r="D929" t="str">
            <v>Always_On</v>
          </cell>
          <cell r="E929" t="str">
            <v>EG</v>
          </cell>
          <cell r="F929" t="str">
            <v>Search</v>
          </cell>
          <cell r="G929">
            <v>3737</v>
          </cell>
          <cell r="H929">
            <v>54439</v>
          </cell>
          <cell r="I929">
            <v>48324</v>
          </cell>
          <cell r="J929">
            <v>1099</v>
          </cell>
        </row>
        <row r="930">
          <cell r="A930" t="str">
            <v>Always_OnUKYouTube</v>
          </cell>
          <cell r="B930">
            <v>45334</v>
          </cell>
          <cell r="C930">
            <v>45334</v>
          </cell>
          <cell r="D930" t="str">
            <v>Always_On</v>
          </cell>
          <cell r="E930" t="str">
            <v>UK</v>
          </cell>
          <cell r="F930" t="str">
            <v>YouTube</v>
          </cell>
          <cell r="G930">
            <v>6475</v>
          </cell>
          <cell r="H930">
            <v>384750</v>
          </cell>
          <cell r="I930">
            <v>146342</v>
          </cell>
          <cell r="J930">
            <v>206</v>
          </cell>
        </row>
        <row r="931">
          <cell r="A931" t="str">
            <v>Always_OnUKSocial</v>
          </cell>
          <cell r="B931">
            <v>45334</v>
          </cell>
          <cell r="C931">
            <v>45334</v>
          </cell>
          <cell r="D931" t="str">
            <v>Always_On</v>
          </cell>
          <cell r="E931" t="str">
            <v>UK</v>
          </cell>
          <cell r="F931" t="str">
            <v>Social</v>
          </cell>
          <cell r="G931">
            <v>6126</v>
          </cell>
          <cell r="H931">
            <v>441907</v>
          </cell>
          <cell r="I931">
            <v>168788</v>
          </cell>
          <cell r="J931">
            <v>203</v>
          </cell>
        </row>
        <row r="932">
          <cell r="A932" t="str">
            <v>Always_OnUKDisplay</v>
          </cell>
          <cell r="B932">
            <v>45334</v>
          </cell>
          <cell r="C932">
            <v>45334</v>
          </cell>
          <cell r="D932" t="str">
            <v>Always_On</v>
          </cell>
          <cell r="E932" t="str">
            <v>UK</v>
          </cell>
          <cell r="F932" t="str">
            <v>Display</v>
          </cell>
          <cell r="G932">
            <v>2466</v>
          </cell>
          <cell r="H932">
            <v>632536</v>
          </cell>
          <cell r="I932">
            <v>111658</v>
          </cell>
          <cell r="J932">
            <v>22</v>
          </cell>
        </row>
        <row r="933">
          <cell r="A933" t="str">
            <v>Always_OnUKSearch</v>
          </cell>
          <cell r="B933">
            <v>45334</v>
          </cell>
          <cell r="C933">
            <v>45334</v>
          </cell>
          <cell r="D933" t="str">
            <v>Always_On</v>
          </cell>
          <cell r="E933" t="str">
            <v>UK</v>
          </cell>
          <cell r="F933" t="str">
            <v>Search</v>
          </cell>
          <cell r="G933">
            <v>5451</v>
          </cell>
          <cell r="H933">
            <v>75595</v>
          </cell>
          <cell r="I933">
            <v>68455</v>
          </cell>
          <cell r="J933">
            <v>461</v>
          </cell>
        </row>
        <row r="934">
          <cell r="A934" t="str">
            <v>Always_OnDEYouTube</v>
          </cell>
          <cell r="B934">
            <v>45334</v>
          </cell>
          <cell r="C934">
            <v>45334</v>
          </cell>
          <cell r="D934" t="str">
            <v>Always_On</v>
          </cell>
          <cell r="E934" t="str">
            <v>DE</v>
          </cell>
          <cell r="F934" t="str">
            <v>YouTube</v>
          </cell>
          <cell r="G934">
            <v>3734</v>
          </cell>
          <cell r="H934">
            <v>261638</v>
          </cell>
          <cell r="I934">
            <v>90375</v>
          </cell>
          <cell r="J934">
            <v>122</v>
          </cell>
        </row>
        <row r="935">
          <cell r="A935" t="str">
            <v>Always_OnDESocial</v>
          </cell>
          <cell r="B935">
            <v>45334</v>
          </cell>
          <cell r="C935">
            <v>45334</v>
          </cell>
          <cell r="D935" t="str">
            <v>Always_On</v>
          </cell>
          <cell r="E935" t="str">
            <v>DE</v>
          </cell>
          <cell r="F935" t="str">
            <v>Social</v>
          </cell>
          <cell r="G935">
            <v>5385</v>
          </cell>
          <cell r="H935">
            <v>371425</v>
          </cell>
          <cell r="I935">
            <v>129013</v>
          </cell>
          <cell r="J935">
            <v>172</v>
          </cell>
        </row>
        <row r="936">
          <cell r="A936" t="str">
            <v>Always_OnDEDisplay</v>
          </cell>
          <cell r="B936">
            <v>45334</v>
          </cell>
          <cell r="C936">
            <v>45334</v>
          </cell>
          <cell r="D936" t="str">
            <v>Always_On</v>
          </cell>
          <cell r="E936" t="str">
            <v>DE</v>
          </cell>
          <cell r="F936" t="str">
            <v>Display</v>
          </cell>
          <cell r="G936">
            <v>3414</v>
          </cell>
          <cell r="H936">
            <v>942440</v>
          </cell>
          <cell r="I936">
            <v>177023</v>
          </cell>
          <cell r="J936">
            <v>29</v>
          </cell>
        </row>
        <row r="937">
          <cell r="A937" t="str">
            <v>Always_OnDESearch</v>
          </cell>
          <cell r="B937">
            <v>45334</v>
          </cell>
          <cell r="C937">
            <v>45334</v>
          </cell>
          <cell r="D937" t="str">
            <v>Always_On</v>
          </cell>
          <cell r="E937" t="str">
            <v>DE</v>
          </cell>
          <cell r="F937" t="str">
            <v>Search</v>
          </cell>
          <cell r="G937">
            <v>4943</v>
          </cell>
          <cell r="H937">
            <v>59318</v>
          </cell>
          <cell r="I937">
            <v>51719</v>
          </cell>
          <cell r="J937">
            <v>391</v>
          </cell>
        </row>
        <row r="938">
          <cell r="A938" t="str">
            <v>Always_OnSAYouTube</v>
          </cell>
          <cell r="B938">
            <v>45334</v>
          </cell>
          <cell r="C938">
            <v>45334</v>
          </cell>
          <cell r="D938" t="str">
            <v>Always_On</v>
          </cell>
          <cell r="E938" t="str">
            <v>SA</v>
          </cell>
          <cell r="F938" t="str">
            <v>YouTube</v>
          </cell>
          <cell r="G938">
            <v>3272</v>
          </cell>
          <cell r="H938">
            <v>243850</v>
          </cell>
          <cell r="I938">
            <v>104705</v>
          </cell>
          <cell r="J938">
            <v>384</v>
          </cell>
        </row>
        <row r="939">
          <cell r="A939" t="str">
            <v>Always_OnSASocial</v>
          </cell>
          <cell r="B939">
            <v>45334</v>
          </cell>
          <cell r="C939">
            <v>45334</v>
          </cell>
          <cell r="D939" t="str">
            <v>Always_On</v>
          </cell>
          <cell r="E939" t="str">
            <v>SA</v>
          </cell>
          <cell r="F939" t="str">
            <v>Social</v>
          </cell>
          <cell r="G939">
            <v>3193</v>
          </cell>
          <cell r="H939">
            <v>264283</v>
          </cell>
          <cell r="I939">
            <v>126694</v>
          </cell>
          <cell r="J939">
            <v>400</v>
          </cell>
        </row>
        <row r="940">
          <cell r="A940" t="str">
            <v>Always_OnSADisplay</v>
          </cell>
          <cell r="B940">
            <v>45334</v>
          </cell>
          <cell r="C940">
            <v>45334</v>
          </cell>
          <cell r="D940" t="str">
            <v>Always_On</v>
          </cell>
          <cell r="E940" t="str">
            <v>SA</v>
          </cell>
          <cell r="F940" t="str">
            <v>Display</v>
          </cell>
          <cell r="G940">
            <v>1529</v>
          </cell>
          <cell r="H940">
            <v>376151</v>
          </cell>
          <cell r="I940">
            <v>70668</v>
          </cell>
          <cell r="J940">
            <v>48</v>
          </cell>
        </row>
        <row r="941">
          <cell r="A941" t="str">
            <v>Always_OnSASearch</v>
          </cell>
          <cell r="B941">
            <v>45334</v>
          </cell>
          <cell r="C941">
            <v>45334</v>
          </cell>
          <cell r="D941" t="str">
            <v>Always_On</v>
          </cell>
          <cell r="E941" t="str">
            <v>SA</v>
          </cell>
          <cell r="F941" t="str">
            <v>Search</v>
          </cell>
          <cell r="G941">
            <v>2709</v>
          </cell>
          <cell r="H941">
            <v>34510</v>
          </cell>
          <cell r="I941">
            <v>30297</v>
          </cell>
          <cell r="J941">
            <v>927</v>
          </cell>
        </row>
        <row r="942">
          <cell r="A942" t="str">
            <v>Always_OnEGYouTube</v>
          </cell>
          <cell r="B942">
            <v>45334</v>
          </cell>
          <cell r="C942">
            <v>45334</v>
          </cell>
          <cell r="D942" t="str">
            <v>Always_On</v>
          </cell>
          <cell r="E942" t="str">
            <v>EG</v>
          </cell>
          <cell r="F942" t="str">
            <v>YouTube</v>
          </cell>
          <cell r="G942">
            <v>5119</v>
          </cell>
          <cell r="H942">
            <v>285543</v>
          </cell>
          <cell r="I942">
            <v>107364</v>
          </cell>
          <cell r="J942">
            <v>658</v>
          </cell>
        </row>
        <row r="943">
          <cell r="A943" t="str">
            <v>Always_OnEGSocial</v>
          </cell>
          <cell r="B943">
            <v>45334</v>
          </cell>
          <cell r="C943">
            <v>45334</v>
          </cell>
          <cell r="D943" t="str">
            <v>Always_On</v>
          </cell>
          <cell r="E943" t="str">
            <v>EG</v>
          </cell>
          <cell r="F943" t="str">
            <v>Social</v>
          </cell>
          <cell r="G943">
            <v>4535</v>
          </cell>
          <cell r="H943">
            <v>372144</v>
          </cell>
          <cell r="I943">
            <v>126602</v>
          </cell>
          <cell r="J943">
            <v>536</v>
          </cell>
        </row>
        <row r="944">
          <cell r="A944" t="str">
            <v>Always_OnEGDisplay</v>
          </cell>
          <cell r="B944">
            <v>45334</v>
          </cell>
          <cell r="C944">
            <v>45334</v>
          </cell>
          <cell r="D944" t="str">
            <v>Always_On</v>
          </cell>
          <cell r="E944" t="str">
            <v>EG</v>
          </cell>
          <cell r="F944" t="str">
            <v>Display</v>
          </cell>
          <cell r="G944">
            <v>1745</v>
          </cell>
          <cell r="H944">
            <v>352271</v>
          </cell>
          <cell r="I944">
            <v>62620</v>
          </cell>
          <cell r="J944">
            <v>49</v>
          </cell>
        </row>
        <row r="945">
          <cell r="A945" t="str">
            <v>Always_OnEGSearch</v>
          </cell>
          <cell r="B945">
            <v>45334</v>
          </cell>
          <cell r="C945">
            <v>45334</v>
          </cell>
          <cell r="D945" t="str">
            <v>Always_On</v>
          </cell>
          <cell r="E945" t="str">
            <v>EG</v>
          </cell>
          <cell r="F945" t="str">
            <v>Search</v>
          </cell>
          <cell r="G945">
            <v>2708</v>
          </cell>
          <cell r="H945">
            <v>35203</v>
          </cell>
          <cell r="I945">
            <v>31069</v>
          </cell>
          <cell r="J945">
            <v>820</v>
          </cell>
        </row>
        <row r="946">
          <cell r="A946" t="str">
            <v>Always_OnUKYouTube</v>
          </cell>
          <cell r="B946">
            <v>45341</v>
          </cell>
          <cell r="C946">
            <v>45341</v>
          </cell>
          <cell r="D946" t="str">
            <v>Always_On</v>
          </cell>
          <cell r="E946" t="str">
            <v>UK</v>
          </cell>
          <cell r="F946" t="str">
            <v>YouTube</v>
          </cell>
          <cell r="G946">
            <v>4713</v>
          </cell>
          <cell r="H946">
            <v>400085</v>
          </cell>
          <cell r="I946">
            <v>162981</v>
          </cell>
          <cell r="J946">
            <v>149</v>
          </cell>
        </row>
        <row r="947">
          <cell r="A947" t="str">
            <v>Always_OnUKSocial</v>
          </cell>
          <cell r="B947">
            <v>45341</v>
          </cell>
          <cell r="C947">
            <v>45341</v>
          </cell>
          <cell r="D947" t="str">
            <v>Always_On</v>
          </cell>
          <cell r="E947" t="str">
            <v>UK</v>
          </cell>
          <cell r="F947" t="str">
            <v>Social</v>
          </cell>
          <cell r="G947">
            <v>4220</v>
          </cell>
          <cell r="H947">
            <v>363122</v>
          </cell>
          <cell r="I947">
            <v>140094</v>
          </cell>
          <cell r="J947">
            <v>131</v>
          </cell>
        </row>
        <row r="948">
          <cell r="A948" t="str">
            <v>Always_OnUKDisplay</v>
          </cell>
          <cell r="B948">
            <v>45341</v>
          </cell>
          <cell r="C948">
            <v>45341</v>
          </cell>
          <cell r="D948" t="str">
            <v>Always_On</v>
          </cell>
          <cell r="E948" t="str">
            <v>UK</v>
          </cell>
          <cell r="F948" t="str">
            <v>Display</v>
          </cell>
          <cell r="G948">
            <v>3816</v>
          </cell>
          <cell r="H948">
            <v>842006</v>
          </cell>
          <cell r="I948">
            <v>199826</v>
          </cell>
          <cell r="J948">
            <v>31</v>
          </cell>
        </row>
        <row r="949">
          <cell r="A949" t="str">
            <v>Always_OnUKSearch</v>
          </cell>
          <cell r="B949">
            <v>45341</v>
          </cell>
          <cell r="C949">
            <v>45341</v>
          </cell>
          <cell r="D949" t="str">
            <v>Always_On</v>
          </cell>
          <cell r="E949" t="str">
            <v>UK</v>
          </cell>
          <cell r="F949" t="str">
            <v>Search</v>
          </cell>
          <cell r="G949">
            <v>5241</v>
          </cell>
          <cell r="H949">
            <v>72606</v>
          </cell>
          <cell r="I949">
            <v>64211</v>
          </cell>
          <cell r="J949">
            <v>422</v>
          </cell>
        </row>
        <row r="950">
          <cell r="A950" t="str">
            <v>Always_OnDEYouTube</v>
          </cell>
          <cell r="B950">
            <v>45341</v>
          </cell>
          <cell r="C950">
            <v>45341</v>
          </cell>
          <cell r="D950" t="str">
            <v>Always_On</v>
          </cell>
          <cell r="E950" t="str">
            <v>DE</v>
          </cell>
          <cell r="F950" t="str">
            <v>YouTube</v>
          </cell>
          <cell r="G950">
            <v>6488</v>
          </cell>
          <cell r="H950">
            <v>575499</v>
          </cell>
          <cell r="I950">
            <v>227247</v>
          </cell>
          <cell r="J950">
            <v>201</v>
          </cell>
        </row>
        <row r="951">
          <cell r="A951" t="str">
            <v>Always_OnDESocial</v>
          </cell>
          <cell r="B951">
            <v>45341</v>
          </cell>
          <cell r="C951">
            <v>45341</v>
          </cell>
          <cell r="D951" t="str">
            <v>Always_On</v>
          </cell>
          <cell r="E951" t="str">
            <v>DE</v>
          </cell>
          <cell r="F951" t="str">
            <v>Social</v>
          </cell>
          <cell r="G951">
            <v>6881</v>
          </cell>
          <cell r="H951">
            <v>490085</v>
          </cell>
          <cell r="I951">
            <v>189445</v>
          </cell>
          <cell r="J951">
            <v>219</v>
          </cell>
        </row>
        <row r="952">
          <cell r="A952" t="str">
            <v>Always_OnDEDisplay</v>
          </cell>
          <cell r="B952">
            <v>45341</v>
          </cell>
          <cell r="C952">
            <v>45341</v>
          </cell>
          <cell r="D952" t="str">
            <v>Always_On</v>
          </cell>
          <cell r="E952" t="str">
            <v>DE</v>
          </cell>
          <cell r="F952" t="str">
            <v>Display</v>
          </cell>
          <cell r="G952">
            <v>2606</v>
          </cell>
          <cell r="H952">
            <v>544972</v>
          </cell>
          <cell r="I952">
            <v>92057</v>
          </cell>
          <cell r="J952">
            <v>22</v>
          </cell>
        </row>
        <row r="953">
          <cell r="A953" t="str">
            <v>Always_OnDESearch</v>
          </cell>
          <cell r="B953">
            <v>45341</v>
          </cell>
          <cell r="C953">
            <v>45341</v>
          </cell>
          <cell r="D953" t="str">
            <v>Always_On</v>
          </cell>
          <cell r="E953" t="str">
            <v>DE</v>
          </cell>
          <cell r="F953" t="str">
            <v>Search</v>
          </cell>
          <cell r="G953">
            <v>7695</v>
          </cell>
          <cell r="H953">
            <v>101018</v>
          </cell>
          <cell r="I953">
            <v>90186</v>
          </cell>
          <cell r="J953">
            <v>622</v>
          </cell>
        </row>
        <row r="954">
          <cell r="A954" t="str">
            <v>Always_OnSAYouTube</v>
          </cell>
          <cell r="B954">
            <v>45341</v>
          </cell>
          <cell r="C954">
            <v>45341</v>
          </cell>
          <cell r="D954" t="str">
            <v>Always_On</v>
          </cell>
          <cell r="E954" t="str">
            <v>SA</v>
          </cell>
          <cell r="F954" t="str">
            <v>YouTube</v>
          </cell>
          <cell r="G954">
            <v>2269</v>
          </cell>
          <cell r="H954">
            <v>180467</v>
          </cell>
          <cell r="I954">
            <v>72643</v>
          </cell>
          <cell r="J954">
            <v>287</v>
          </cell>
        </row>
        <row r="955">
          <cell r="A955" t="str">
            <v>Always_OnSASocial</v>
          </cell>
          <cell r="B955">
            <v>45341</v>
          </cell>
          <cell r="C955">
            <v>45341</v>
          </cell>
          <cell r="D955" t="str">
            <v>Always_On</v>
          </cell>
          <cell r="E955" t="str">
            <v>SA</v>
          </cell>
          <cell r="F955" t="str">
            <v>Social</v>
          </cell>
          <cell r="G955">
            <v>2516</v>
          </cell>
          <cell r="H955">
            <v>206298</v>
          </cell>
          <cell r="I955">
            <v>96839</v>
          </cell>
          <cell r="J955">
            <v>302</v>
          </cell>
        </row>
        <row r="956">
          <cell r="A956" t="str">
            <v>Always_OnSADisplay</v>
          </cell>
          <cell r="B956">
            <v>45341</v>
          </cell>
          <cell r="C956">
            <v>45341</v>
          </cell>
          <cell r="D956" t="str">
            <v>Always_On</v>
          </cell>
          <cell r="E956" t="str">
            <v>SA</v>
          </cell>
          <cell r="F956" t="str">
            <v>Display</v>
          </cell>
          <cell r="G956">
            <v>2242</v>
          </cell>
          <cell r="H956">
            <v>472882</v>
          </cell>
          <cell r="I956">
            <v>108555</v>
          </cell>
          <cell r="J956">
            <v>72</v>
          </cell>
        </row>
        <row r="957">
          <cell r="A957" t="str">
            <v>Always_OnSASearch</v>
          </cell>
          <cell r="B957">
            <v>45341</v>
          </cell>
          <cell r="C957">
            <v>45341</v>
          </cell>
          <cell r="D957" t="str">
            <v>Always_On</v>
          </cell>
          <cell r="E957" t="str">
            <v>SA</v>
          </cell>
          <cell r="F957" t="str">
            <v>Search</v>
          </cell>
          <cell r="G957">
            <v>2881</v>
          </cell>
          <cell r="H957">
            <v>42976</v>
          </cell>
          <cell r="I957">
            <v>38559</v>
          </cell>
          <cell r="J957">
            <v>834</v>
          </cell>
        </row>
        <row r="958">
          <cell r="A958" t="str">
            <v>Always_OnEGYouTube</v>
          </cell>
          <cell r="B958">
            <v>45341</v>
          </cell>
          <cell r="C958">
            <v>45341</v>
          </cell>
          <cell r="D958" t="str">
            <v>Always_On</v>
          </cell>
          <cell r="E958" t="str">
            <v>EG</v>
          </cell>
          <cell r="F958" t="str">
            <v>YouTube</v>
          </cell>
          <cell r="G958">
            <v>2393</v>
          </cell>
          <cell r="H958">
            <v>172319</v>
          </cell>
          <cell r="I958">
            <v>78361</v>
          </cell>
          <cell r="J958">
            <v>291</v>
          </cell>
        </row>
        <row r="959">
          <cell r="A959" t="str">
            <v>Always_OnEGSocial</v>
          </cell>
          <cell r="B959">
            <v>45341</v>
          </cell>
          <cell r="C959">
            <v>45341</v>
          </cell>
          <cell r="D959" t="str">
            <v>Always_On</v>
          </cell>
          <cell r="E959" t="str">
            <v>EG</v>
          </cell>
          <cell r="F959" t="str">
            <v>Social</v>
          </cell>
          <cell r="G959">
            <v>4880</v>
          </cell>
          <cell r="H959">
            <v>384632</v>
          </cell>
          <cell r="I959">
            <v>143462</v>
          </cell>
          <cell r="J959">
            <v>667</v>
          </cell>
        </row>
        <row r="960">
          <cell r="A960" t="str">
            <v>Always_OnEGDisplay</v>
          </cell>
          <cell r="B960">
            <v>45341</v>
          </cell>
          <cell r="C960">
            <v>45341</v>
          </cell>
          <cell r="D960" t="str">
            <v>Always_On</v>
          </cell>
          <cell r="E960" t="str">
            <v>EG</v>
          </cell>
          <cell r="F960" t="str">
            <v>Display</v>
          </cell>
          <cell r="G960">
            <v>2010</v>
          </cell>
          <cell r="H960">
            <v>463198</v>
          </cell>
          <cell r="I960">
            <v>83755</v>
          </cell>
          <cell r="J960">
            <v>67</v>
          </cell>
        </row>
        <row r="961">
          <cell r="A961" t="str">
            <v>Always_OnEGSearch</v>
          </cell>
          <cell r="B961">
            <v>45341</v>
          </cell>
          <cell r="C961">
            <v>45341</v>
          </cell>
          <cell r="D961" t="str">
            <v>Always_On</v>
          </cell>
          <cell r="E961" t="str">
            <v>EG</v>
          </cell>
          <cell r="F961" t="str">
            <v>Search</v>
          </cell>
          <cell r="G961">
            <v>4656</v>
          </cell>
          <cell r="H961">
            <v>64411</v>
          </cell>
          <cell r="I961">
            <v>56315</v>
          </cell>
          <cell r="J961">
            <v>1450</v>
          </cell>
        </row>
        <row r="962">
          <cell r="A962" t="str">
            <v>Always_OnUKYouTube</v>
          </cell>
          <cell r="B962">
            <v>45348</v>
          </cell>
          <cell r="C962">
            <v>45348</v>
          </cell>
          <cell r="D962" t="str">
            <v>Always_On</v>
          </cell>
          <cell r="E962" t="str">
            <v>UK</v>
          </cell>
          <cell r="F962" t="str">
            <v>YouTube</v>
          </cell>
          <cell r="G962">
            <v>6842</v>
          </cell>
          <cell r="H962">
            <v>349379</v>
          </cell>
          <cell r="I962">
            <v>125590</v>
          </cell>
          <cell r="J962">
            <v>249</v>
          </cell>
        </row>
        <row r="963">
          <cell r="A963" t="str">
            <v>Always_OnUKSocial</v>
          </cell>
          <cell r="B963">
            <v>45348</v>
          </cell>
          <cell r="C963">
            <v>45348</v>
          </cell>
          <cell r="D963" t="str">
            <v>Always_On</v>
          </cell>
          <cell r="E963" t="str">
            <v>UK</v>
          </cell>
          <cell r="F963" t="str">
            <v>Social</v>
          </cell>
          <cell r="G963">
            <v>3939</v>
          </cell>
          <cell r="H963">
            <v>344904</v>
          </cell>
          <cell r="I963">
            <v>166248</v>
          </cell>
          <cell r="J963">
            <v>129</v>
          </cell>
        </row>
        <row r="964">
          <cell r="A964" t="str">
            <v>Always_OnUKDisplay</v>
          </cell>
          <cell r="B964">
            <v>45348</v>
          </cell>
          <cell r="C964">
            <v>45348</v>
          </cell>
          <cell r="D964" t="str">
            <v>Always_On</v>
          </cell>
          <cell r="E964" t="str">
            <v>UK</v>
          </cell>
          <cell r="F964" t="str">
            <v>Display</v>
          </cell>
          <cell r="G964">
            <v>3695</v>
          </cell>
          <cell r="H964">
            <v>1031716</v>
          </cell>
          <cell r="I964">
            <v>239730</v>
          </cell>
          <cell r="J964">
            <v>30</v>
          </cell>
        </row>
        <row r="965">
          <cell r="A965" t="str">
            <v>Always_OnUKSearch</v>
          </cell>
          <cell r="B965">
            <v>45348</v>
          </cell>
          <cell r="C965">
            <v>45348</v>
          </cell>
          <cell r="D965" t="str">
            <v>Always_On</v>
          </cell>
          <cell r="E965" t="str">
            <v>UK</v>
          </cell>
          <cell r="F965" t="str">
            <v>Search</v>
          </cell>
          <cell r="G965">
            <v>5657</v>
          </cell>
          <cell r="H965">
            <v>64524</v>
          </cell>
          <cell r="I965">
            <v>56882</v>
          </cell>
          <cell r="J965">
            <v>506</v>
          </cell>
        </row>
        <row r="966">
          <cell r="A966" t="str">
            <v>Always_OnDEYouTube</v>
          </cell>
          <cell r="B966">
            <v>45348</v>
          </cell>
          <cell r="C966">
            <v>45348</v>
          </cell>
          <cell r="D966" t="str">
            <v>Always_On</v>
          </cell>
          <cell r="E966" t="str">
            <v>DE</v>
          </cell>
          <cell r="F966" t="str">
            <v>YouTube</v>
          </cell>
          <cell r="G966">
            <v>6165</v>
          </cell>
          <cell r="H966">
            <v>508023</v>
          </cell>
          <cell r="I966">
            <v>219450</v>
          </cell>
          <cell r="J966">
            <v>223</v>
          </cell>
        </row>
        <row r="967">
          <cell r="A967" t="str">
            <v>Always_OnDESocial</v>
          </cell>
          <cell r="B967">
            <v>45348</v>
          </cell>
          <cell r="C967">
            <v>45348</v>
          </cell>
          <cell r="D967" t="str">
            <v>Always_On</v>
          </cell>
          <cell r="E967" t="str">
            <v>DE</v>
          </cell>
          <cell r="F967" t="str">
            <v>Social</v>
          </cell>
          <cell r="G967">
            <v>3359</v>
          </cell>
          <cell r="H967">
            <v>193062</v>
          </cell>
          <cell r="I967">
            <v>93978</v>
          </cell>
          <cell r="J967">
            <v>116</v>
          </cell>
        </row>
        <row r="968">
          <cell r="A968" t="str">
            <v>Always_OnDEDisplay</v>
          </cell>
          <cell r="B968">
            <v>45348</v>
          </cell>
          <cell r="C968">
            <v>45348</v>
          </cell>
          <cell r="D968" t="str">
            <v>Always_On</v>
          </cell>
          <cell r="E968" t="str">
            <v>DE</v>
          </cell>
          <cell r="F968" t="str">
            <v>Display</v>
          </cell>
          <cell r="G968">
            <v>3385</v>
          </cell>
          <cell r="H968">
            <v>868791</v>
          </cell>
          <cell r="I968">
            <v>210887</v>
          </cell>
          <cell r="J968">
            <v>28</v>
          </cell>
        </row>
        <row r="969">
          <cell r="A969" t="str">
            <v>Always_OnDESearch</v>
          </cell>
          <cell r="B969">
            <v>45348</v>
          </cell>
          <cell r="C969">
            <v>45348</v>
          </cell>
          <cell r="D969" t="str">
            <v>Always_On</v>
          </cell>
          <cell r="E969" t="str">
            <v>DE</v>
          </cell>
          <cell r="F969" t="str">
            <v>Search</v>
          </cell>
          <cell r="G969">
            <v>7610</v>
          </cell>
          <cell r="H969">
            <v>92408</v>
          </cell>
          <cell r="I969">
            <v>80063</v>
          </cell>
          <cell r="J969">
            <v>587</v>
          </cell>
        </row>
        <row r="970">
          <cell r="A970" t="str">
            <v>Always_OnSAYouTube</v>
          </cell>
          <cell r="B970">
            <v>45348</v>
          </cell>
          <cell r="C970">
            <v>45348</v>
          </cell>
          <cell r="D970" t="str">
            <v>Always_On</v>
          </cell>
          <cell r="E970" t="str">
            <v>SA</v>
          </cell>
          <cell r="F970" t="str">
            <v>YouTube</v>
          </cell>
          <cell r="G970">
            <v>3041</v>
          </cell>
          <cell r="H970">
            <v>264815</v>
          </cell>
          <cell r="I970">
            <v>111548</v>
          </cell>
          <cell r="J970">
            <v>413</v>
          </cell>
        </row>
        <row r="971">
          <cell r="A971" t="str">
            <v>Always_OnSASocial</v>
          </cell>
          <cell r="B971">
            <v>45348</v>
          </cell>
          <cell r="C971">
            <v>45348</v>
          </cell>
          <cell r="D971" t="str">
            <v>Always_On</v>
          </cell>
          <cell r="E971" t="str">
            <v>SA</v>
          </cell>
          <cell r="F971" t="str">
            <v>Social</v>
          </cell>
          <cell r="G971">
            <v>3094</v>
          </cell>
          <cell r="H971">
            <v>194215</v>
          </cell>
          <cell r="I971">
            <v>78112</v>
          </cell>
          <cell r="J971">
            <v>401</v>
          </cell>
        </row>
        <row r="972">
          <cell r="A972" t="str">
            <v>Always_OnSADisplay</v>
          </cell>
          <cell r="B972">
            <v>45348</v>
          </cell>
          <cell r="C972">
            <v>45348</v>
          </cell>
          <cell r="D972" t="str">
            <v>Always_On</v>
          </cell>
          <cell r="E972" t="str">
            <v>SA</v>
          </cell>
          <cell r="F972" t="str">
            <v>Display</v>
          </cell>
          <cell r="G972">
            <v>2807</v>
          </cell>
          <cell r="H972">
            <v>690164</v>
          </cell>
          <cell r="I972">
            <v>171436</v>
          </cell>
          <cell r="J972">
            <v>82</v>
          </cell>
        </row>
        <row r="973">
          <cell r="A973" t="str">
            <v>Always_OnSASearch</v>
          </cell>
          <cell r="B973">
            <v>45348</v>
          </cell>
          <cell r="C973">
            <v>45348</v>
          </cell>
          <cell r="D973" t="str">
            <v>Always_On</v>
          </cell>
          <cell r="E973" t="str">
            <v>SA</v>
          </cell>
          <cell r="F973" t="str">
            <v>Search</v>
          </cell>
          <cell r="G973">
            <v>4324</v>
          </cell>
          <cell r="H973">
            <v>48133</v>
          </cell>
          <cell r="I973">
            <v>42676</v>
          </cell>
          <cell r="J973">
            <v>1270</v>
          </cell>
        </row>
        <row r="974">
          <cell r="A974" t="str">
            <v>Always_OnEGYouTube</v>
          </cell>
          <cell r="B974">
            <v>45348</v>
          </cell>
          <cell r="C974">
            <v>45348</v>
          </cell>
          <cell r="D974" t="str">
            <v>Always_On</v>
          </cell>
          <cell r="E974" t="str">
            <v>EG</v>
          </cell>
          <cell r="F974" t="str">
            <v>YouTube</v>
          </cell>
          <cell r="G974">
            <v>4374</v>
          </cell>
          <cell r="H974">
            <v>336915</v>
          </cell>
          <cell r="I974">
            <v>140782</v>
          </cell>
          <cell r="J974">
            <v>509</v>
          </cell>
        </row>
        <row r="975">
          <cell r="A975" t="str">
            <v>Always_OnEGSocial</v>
          </cell>
          <cell r="B975">
            <v>45348</v>
          </cell>
          <cell r="C975">
            <v>45348</v>
          </cell>
          <cell r="D975" t="str">
            <v>Always_On</v>
          </cell>
          <cell r="E975" t="str">
            <v>EG</v>
          </cell>
          <cell r="F975" t="str">
            <v>Social</v>
          </cell>
          <cell r="G975">
            <v>4030</v>
          </cell>
          <cell r="H975">
            <v>287264</v>
          </cell>
          <cell r="I975">
            <v>116085</v>
          </cell>
          <cell r="J975">
            <v>536</v>
          </cell>
        </row>
        <row r="976">
          <cell r="A976" t="str">
            <v>Always_OnEGDisplay</v>
          </cell>
          <cell r="B976">
            <v>45348</v>
          </cell>
          <cell r="C976">
            <v>45348</v>
          </cell>
          <cell r="D976" t="str">
            <v>Always_On</v>
          </cell>
          <cell r="E976" t="str">
            <v>EG</v>
          </cell>
          <cell r="F976" t="str">
            <v>Display</v>
          </cell>
          <cell r="G976">
            <v>2171</v>
          </cell>
          <cell r="H976">
            <v>617853</v>
          </cell>
          <cell r="I976">
            <v>124729</v>
          </cell>
          <cell r="J976">
            <v>66</v>
          </cell>
        </row>
        <row r="977">
          <cell r="A977" t="str">
            <v>Always_OnEGSearch</v>
          </cell>
          <cell r="B977">
            <v>45348</v>
          </cell>
          <cell r="C977">
            <v>45348</v>
          </cell>
          <cell r="D977" t="str">
            <v>Always_On</v>
          </cell>
          <cell r="E977" t="str">
            <v>EG</v>
          </cell>
          <cell r="F977" t="str">
            <v>Search</v>
          </cell>
          <cell r="G977">
            <v>2762</v>
          </cell>
          <cell r="H977">
            <v>37467</v>
          </cell>
          <cell r="I977">
            <v>33085</v>
          </cell>
          <cell r="J977">
            <v>789</v>
          </cell>
        </row>
        <row r="978">
          <cell r="A978" t="str">
            <v>Always_OnUKYouTube</v>
          </cell>
          <cell r="B978">
            <v>45355</v>
          </cell>
          <cell r="C978">
            <v>45355</v>
          </cell>
          <cell r="D978" t="str">
            <v>Always_On</v>
          </cell>
          <cell r="E978" t="str">
            <v>UK</v>
          </cell>
          <cell r="F978" t="str">
            <v>YouTube</v>
          </cell>
          <cell r="G978">
            <v>5271</v>
          </cell>
          <cell r="H978">
            <v>282060</v>
          </cell>
          <cell r="I978">
            <v>113209</v>
          </cell>
          <cell r="J978">
            <v>177</v>
          </cell>
        </row>
        <row r="979">
          <cell r="A979" t="str">
            <v>Always_OnUKSocial</v>
          </cell>
          <cell r="B979">
            <v>45355</v>
          </cell>
          <cell r="C979">
            <v>45355</v>
          </cell>
          <cell r="D979" t="str">
            <v>Always_On</v>
          </cell>
          <cell r="E979" t="str">
            <v>UK</v>
          </cell>
          <cell r="F979" t="str">
            <v>Social</v>
          </cell>
          <cell r="G979">
            <v>6300</v>
          </cell>
          <cell r="H979">
            <v>511288</v>
          </cell>
          <cell r="I979">
            <v>200323</v>
          </cell>
          <cell r="J979">
            <v>202</v>
          </cell>
        </row>
        <row r="980">
          <cell r="A980" t="str">
            <v>Always_OnUKDisplay</v>
          </cell>
          <cell r="B980">
            <v>45355</v>
          </cell>
          <cell r="C980">
            <v>45355</v>
          </cell>
          <cell r="D980" t="str">
            <v>Always_On</v>
          </cell>
          <cell r="E980" t="str">
            <v>UK</v>
          </cell>
          <cell r="F980" t="str">
            <v>Display</v>
          </cell>
          <cell r="G980">
            <v>3925</v>
          </cell>
          <cell r="H980">
            <v>1002417</v>
          </cell>
          <cell r="I980">
            <v>202196</v>
          </cell>
          <cell r="J980">
            <v>35</v>
          </cell>
        </row>
        <row r="981">
          <cell r="A981" t="str">
            <v>Always_OnUKSearch</v>
          </cell>
          <cell r="B981">
            <v>45355</v>
          </cell>
          <cell r="C981">
            <v>45355</v>
          </cell>
          <cell r="D981" t="str">
            <v>Always_On</v>
          </cell>
          <cell r="E981" t="str">
            <v>UK</v>
          </cell>
          <cell r="F981" t="str">
            <v>Search</v>
          </cell>
          <cell r="G981">
            <v>6680</v>
          </cell>
          <cell r="H981">
            <v>100206</v>
          </cell>
          <cell r="I981">
            <v>89394</v>
          </cell>
          <cell r="J981">
            <v>538</v>
          </cell>
        </row>
        <row r="982">
          <cell r="A982" t="str">
            <v>Always_OnDEYouTube</v>
          </cell>
          <cell r="B982">
            <v>45355</v>
          </cell>
          <cell r="C982">
            <v>45355</v>
          </cell>
          <cell r="D982" t="str">
            <v>Always_On</v>
          </cell>
          <cell r="E982" t="str">
            <v>DE</v>
          </cell>
          <cell r="F982" t="str">
            <v>YouTube</v>
          </cell>
          <cell r="G982">
            <v>3845</v>
          </cell>
          <cell r="H982">
            <v>202663</v>
          </cell>
          <cell r="I982">
            <v>72142</v>
          </cell>
          <cell r="J982">
            <v>122</v>
          </cell>
        </row>
        <row r="983">
          <cell r="A983" t="str">
            <v>Always_OnDESocial</v>
          </cell>
          <cell r="B983">
            <v>45355</v>
          </cell>
          <cell r="C983">
            <v>45355</v>
          </cell>
          <cell r="D983" t="str">
            <v>Always_On</v>
          </cell>
          <cell r="E983" t="str">
            <v>DE</v>
          </cell>
          <cell r="F983" t="str">
            <v>Social</v>
          </cell>
          <cell r="G983">
            <v>6656</v>
          </cell>
          <cell r="H983">
            <v>516371</v>
          </cell>
          <cell r="I983">
            <v>230988</v>
          </cell>
          <cell r="J983">
            <v>226</v>
          </cell>
        </row>
        <row r="984">
          <cell r="A984" t="str">
            <v>Always_OnDEDisplay</v>
          </cell>
          <cell r="B984">
            <v>45355</v>
          </cell>
          <cell r="C984">
            <v>45355</v>
          </cell>
          <cell r="D984" t="str">
            <v>Always_On</v>
          </cell>
          <cell r="E984" t="str">
            <v>DE</v>
          </cell>
          <cell r="F984" t="str">
            <v>Display</v>
          </cell>
          <cell r="G984">
            <v>4019</v>
          </cell>
          <cell r="H984">
            <v>960501</v>
          </cell>
          <cell r="I984">
            <v>198884</v>
          </cell>
          <cell r="J984">
            <v>36</v>
          </cell>
        </row>
        <row r="985">
          <cell r="A985" t="str">
            <v>Always_OnDESearch</v>
          </cell>
          <cell r="B985">
            <v>45355</v>
          </cell>
          <cell r="C985">
            <v>45355</v>
          </cell>
          <cell r="D985" t="str">
            <v>Always_On</v>
          </cell>
          <cell r="E985" t="str">
            <v>DE</v>
          </cell>
          <cell r="F985" t="str">
            <v>Search</v>
          </cell>
          <cell r="G985">
            <v>5249</v>
          </cell>
          <cell r="H985">
            <v>55453</v>
          </cell>
          <cell r="I985">
            <v>47156</v>
          </cell>
          <cell r="J985">
            <v>431</v>
          </cell>
        </row>
        <row r="986">
          <cell r="A986" t="str">
            <v>Always_OnSAYouTube</v>
          </cell>
          <cell r="B986">
            <v>45355</v>
          </cell>
          <cell r="C986">
            <v>45355</v>
          </cell>
          <cell r="D986" t="str">
            <v>Always_On</v>
          </cell>
          <cell r="E986" t="str">
            <v>SA</v>
          </cell>
          <cell r="F986" t="str">
            <v>YouTube</v>
          </cell>
          <cell r="G986">
            <v>4968</v>
          </cell>
          <cell r="H986">
            <v>306141</v>
          </cell>
          <cell r="I986">
            <v>112766</v>
          </cell>
          <cell r="J986">
            <v>571</v>
          </cell>
        </row>
        <row r="987">
          <cell r="A987" t="str">
            <v>Always_OnSASocial</v>
          </cell>
          <cell r="B987">
            <v>45355</v>
          </cell>
          <cell r="C987">
            <v>45355</v>
          </cell>
          <cell r="D987" t="str">
            <v>Always_On</v>
          </cell>
          <cell r="E987" t="str">
            <v>SA</v>
          </cell>
          <cell r="F987" t="str">
            <v>Social</v>
          </cell>
          <cell r="G987">
            <v>4807</v>
          </cell>
          <cell r="H987">
            <v>324114</v>
          </cell>
          <cell r="I987">
            <v>108786</v>
          </cell>
          <cell r="J987">
            <v>578</v>
          </cell>
        </row>
        <row r="988">
          <cell r="A988" t="str">
            <v>Always_OnSADisplay</v>
          </cell>
          <cell r="B988">
            <v>45355</v>
          </cell>
          <cell r="C988">
            <v>45355</v>
          </cell>
          <cell r="D988" t="str">
            <v>Always_On</v>
          </cell>
          <cell r="E988" t="str">
            <v>SA</v>
          </cell>
          <cell r="F988" t="str">
            <v>Display</v>
          </cell>
          <cell r="G988">
            <v>1590</v>
          </cell>
          <cell r="H988">
            <v>361299</v>
          </cell>
          <cell r="I988">
            <v>72338</v>
          </cell>
          <cell r="J988">
            <v>46</v>
          </cell>
        </row>
        <row r="989">
          <cell r="A989" t="str">
            <v>Always_OnSASearch</v>
          </cell>
          <cell r="B989">
            <v>45355</v>
          </cell>
          <cell r="C989">
            <v>45355</v>
          </cell>
          <cell r="D989" t="str">
            <v>Always_On</v>
          </cell>
          <cell r="E989" t="str">
            <v>SA</v>
          </cell>
          <cell r="F989" t="str">
            <v>Search</v>
          </cell>
          <cell r="G989">
            <v>4653</v>
          </cell>
          <cell r="H989">
            <v>64142</v>
          </cell>
          <cell r="I989">
            <v>56809</v>
          </cell>
          <cell r="J989">
            <v>1380</v>
          </cell>
        </row>
        <row r="990">
          <cell r="A990" t="str">
            <v>Always_OnEGYouTube</v>
          </cell>
          <cell r="B990">
            <v>45355</v>
          </cell>
          <cell r="C990">
            <v>45355</v>
          </cell>
          <cell r="D990" t="str">
            <v>Always_On</v>
          </cell>
          <cell r="E990" t="str">
            <v>EG</v>
          </cell>
          <cell r="F990" t="str">
            <v>YouTube</v>
          </cell>
          <cell r="G990">
            <v>4715</v>
          </cell>
          <cell r="H990">
            <v>259437</v>
          </cell>
          <cell r="I990">
            <v>112045</v>
          </cell>
          <cell r="J990">
            <v>640</v>
          </cell>
        </row>
        <row r="991">
          <cell r="A991" t="str">
            <v>Always_OnEGSocial</v>
          </cell>
          <cell r="B991">
            <v>45355</v>
          </cell>
          <cell r="C991">
            <v>45355</v>
          </cell>
          <cell r="D991" t="str">
            <v>Always_On</v>
          </cell>
          <cell r="E991" t="str">
            <v>EG</v>
          </cell>
          <cell r="F991" t="str">
            <v>Social</v>
          </cell>
          <cell r="G991">
            <v>4381</v>
          </cell>
          <cell r="H991">
            <v>352049</v>
          </cell>
          <cell r="I991">
            <v>138868</v>
          </cell>
          <cell r="J991">
            <v>505</v>
          </cell>
        </row>
        <row r="992">
          <cell r="A992" t="str">
            <v>Always_OnEGDisplay</v>
          </cell>
          <cell r="B992">
            <v>45355</v>
          </cell>
          <cell r="C992">
            <v>45355</v>
          </cell>
          <cell r="D992" t="str">
            <v>Always_On</v>
          </cell>
          <cell r="E992" t="str">
            <v>EG</v>
          </cell>
          <cell r="F992" t="str">
            <v>Display</v>
          </cell>
          <cell r="G992">
            <v>2117</v>
          </cell>
          <cell r="H992">
            <v>613677</v>
          </cell>
          <cell r="I992">
            <v>105501</v>
          </cell>
          <cell r="J992">
            <v>71</v>
          </cell>
        </row>
        <row r="993">
          <cell r="A993" t="str">
            <v>Always_OnEGSearch</v>
          </cell>
          <cell r="B993">
            <v>45355</v>
          </cell>
          <cell r="C993">
            <v>45355</v>
          </cell>
          <cell r="D993" t="str">
            <v>Always_On</v>
          </cell>
          <cell r="E993" t="str">
            <v>EG</v>
          </cell>
          <cell r="F993" t="str">
            <v>Search</v>
          </cell>
          <cell r="G993">
            <v>3812</v>
          </cell>
          <cell r="H993">
            <v>51940</v>
          </cell>
          <cell r="I993">
            <v>44136</v>
          </cell>
          <cell r="J993">
            <v>1170</v>
          </cell>
        </row>
        <row r="994">
          <cell r="A994" t="str">
            <v>Always_OnUKYouTube</v>
          </cell>
          <cell r="B994">
            <v>45362</v>
          </cell>
          <cell r="C994">
            <v>45362</v>
          </cell>
          <cell r="D994" t="str">
            <v>Always_On</v>
          </cell>
          <cell r="E994" t="str">
            <v>UK</v>
          </cell>
          <cell r="F994" t="str">
            <v>YouTube</v>
          </cell>
          <cell r="G994">
            <v>7055</v>
          </cell>
          <cell r="H994">
            <v>609769</v>
          </cell>
          <cell r="I994">
            <v>246151</v>
          </cell>
          <cell r="J994">
            <v>256</v>
          </cell>
        </row>
        <row r="995">
          <cell r="A995" t="str">
            <v>Always_OnUKSocial</v>
          </cell>
          <cell r="B995">
            <v>45362</v>
          </cell>
          <cell r="C995">
            <v>45362</v>
          </cell>
          <cell r="D995" t="str">
            <v>Always_On</v>
          </cell>
          <cell r="E995" t="str">
            <v>UK</v>
          </cell>
          <cell r="F995" t="str">
            <v>Social</v>
          </cell>
          <cell r="G995">
            <v>2922</v>
          </cell>
          <cell r="H995">
            <v>223868</v>
          </cell>
          <cell r="I995">
            <v>75217</v>
          </cell>
          <cell r="J995">
            <v>100</v>
          </cell>
        </row>
        <row r="996">
          <cell r="A996" t="str">
            <v>Always_OnUKDisplay</v>
          </cell>
          <cell r="B996">
            <v>45362</v>
          </cell>
          <cell r="C996">
            <v>45362</v>
          </cell>
          <cell r="D996" t="str">
            <v>Always_On</v>
          </cell>
          <cell r="E996" t="str">
            <v>UK</v>
          </cell>
          <cell r="F996" t="str">
            <v>Display</v>
          </cell>
          <cell r="G996">
            <v>4212</v>
          </cell>
          <cell r="H996">
            <v>924820</v>
          </cell>
          <cell r="I996">
            <v>172807</v>
          </cell>
          <cell r="J996">
            <v>33</v>
          </cell>
        </row>
        <row r="997">
          <cell r="A997" t="str">
            <v>Always_OnUKSearch</v>
          </cell>
          <cell r="B997">
            <v>45362</v>
          </cell>
          <cell r="C997">
            <v>45362</v>
          </cell>
          <cell r="D997" t="str">
            <v>Always_On</v>
          </cell>
          <cell r="E997" t="str">
            <v>UK</v>
          </cell>
          <cell r="F997" t="str">
            <v>Search</v>
          </cell>
          <cell r="G997">
            <v>6130</v>
          </cell>
          <cell r="H997">
            <v>63754</v>
          </cell>
          <cell r="I997">
            <v>54044</v>
          </cell>
          <cell r="J997">
            <v>465</v>
          </cell>
        </row>
        <row r="998">
          <cell r="A998" t="str">
            <v>Always_OnDEYouTube</v>
          </cell>
          <cell r="B998">
            <v>45362</v>
          </cell>
          <cell r="C998">
            <v>45362</v>
          </cell>
          <cell r="D998" t="str">
            <v>Always_On</v>
          </cell>
          <cell r="E998" t="str">
            <v>DE</v>
          </cell>
          <cell r="F998" t="str">
            <v>YouTube</v>
          </cell>
          <cell r="G998">
            <v>6499</v>
          </cell>
          <cell r="H998">
            <v>564133</v>
          </cell>
          <cell r="I998">
            <v>215528</v>
          </cell>
          <cell r="J998">
            <v>224</v>
          </cell>
        </row>
        <row r="999">
          <cell r="A999" t="str">
            <v>Always_OnDESocial</v>
          </cell>
          <cell r="B999">
            <v>45362</v>
          </cell>
          <cell r="C999">
            <v>45362</v>
          </cell>
          <cell r="D999" t="str">
            <v>Always_On</v>
          </cell>
          <cell r="E999" t="str">
            <v>DE</v>
          </cell>
          <cell r="F999" t="str">
            <v>Social</v>
          </cell>
          <cell r="G999">
            <v>3741</v>
          </cell>
          <cell r="H999">
            <v>243392</v>
          </cell>
          <cell r="I999">
            <v>117890</v>
          </cell>
          <cell r="J999">
            <v>116</v>
          </cell>
        </row>
        <row r="1000">
          <cell r="A1000" t="str">
            <v>Always_OnDEDisplay</v>
          </cell>
          <cell r="B1000">
            <v>45362</v>
          </cell>
          <cell r="C1000">
            <v>45362</v>
          </cell>
          <cell r="D1000" t="str">
            <v>Always_On</v>
          </cell>
          <cell r="E1000" t="str">
            <v>DE</v>
          </cell>
          <cell r="F1000" t="str">
            <v>Display</v>
          </cell>
          <cell r="G1000">
            <v>3451</v>
          </cell>
          <cell r="H1000">
            <v>934905</v>
          </cell>
          <cell r="I1000">
            <v>226695</v>
          </cell>
          <cell r="J1000">
            <v>31</v>
          </cell>
        </row>
        <row r="1001">
          <cell r="A1001" t="str">
            <v>Always_OnDESearch</v>
          </cell>
          <cell r="B1001">
            <v>45362</v>
          </cell>
          <cell r="C1001">
            <v>45362</v>
          </cell>
          <cell r="D1001" t="str">
            <v>Always_On</v>
          </cell>
          <cell r="E1001" t="str">
            <v>DE</v>
          </cell>
          <cell r="F1001" t="str">
            <v>Search</v>
          </cell>
          <cell r="G1001">
            <v>6210</v>
          </cell>
          <cell r="H1001">
            <v>77439</v>
          </cell>
          <cell r="I1001">
            <v>67120</v>
          </cell>
          <cell r="J1001">
            <v>558</v>
          </cell>
        </row>
        <row r="1002">
          <cell r="A1002" t="str">
            <v>Always_OnSAYouTube</v>
          </cell>
          <cell r="B1002">
            <v>45362</v>
          </cell>
          <cell r="C1002">
            <v>45362</v>
          </cell>
          <cell r="D1002" t="str">
            <v>Always_On</v>
          </cell>
          <cell r="E1002" t="str">
            <v>SA</v>
          </cell>
          <cell r="F1002" t="str">
            <v>YouTube</v>
          </cell>
          <cell r="G1002">
            <v>2888</v>
          </cell>
          <cell r="H1002">
            <v>172173</v>
          </cell>
          <cell r="I1002">
            <v>61858</v>
          </cell>
          <cell r="J1002">
            <v>329</v>
          </cell>
        </row>
        <row r="1003">
          <cell r="A1003" t="str">
            <v>Always_OnSASocial</v>
          </cell>
          <cell r="B1003">
            <v>45362</v>
          </cell>
          <cell r="C1003">
            <v>45362</v>
          </cell>
          <cell r="D1003" t="str">
            <v>Always_On</v>
          </cell>
          <cell r="E1003" t="str">
            <v>SA</v>
          </cell>
          <cell r="F1003" t="str">
            <v>Social</v>
          </cell>
          <cell r="G1003">
            <v>3200</v>
          </cell>
          <cell r="H1003">
            <v>273352</v>
          </cell>
          <cell r="I1003">
            <v>117622</v>
          </cell>
          <cell r="J1003">
            <v>441</v>
          </cell>
        </row>
        <row r="1004">
          <cell r="A1004" t="str">
            <v>Always_OnSADisplay</v>
          </cell>
          <cell r="B1004">
            <v>45362</v>
          </cell>
          <cell r="C1004">
            <v>45362</v>
          </cell>
          <cell r="D1004" t="str">
            <v>Always_On</v>
          </cell>
          <cell r="E1004" t="str">
            <v>SA</v>
          </cell>
          <cell r="F1004" t="str">
            <v>Display</v>
          </cell>
          <cell r="G1004">
            <v>1902</v>
          </cell>
          <cell r="H1004">
            <v>479369</v>
          </cell>
          <cell r="I1004">
            <v>92577</v>
          </cell>
          <cell r="J1004">
            <v>58</v>
          </cell>
        </row>
        <row r="1005">
          <cell r="A1005" t="str">
            <v>Always_OnSASearch</v>
          </cell>
          <cell r="B1005">
            <v>45362</v>
          </cell>
          <cell r="C1005">
            <v>45362</v>
          </cell>
          <cell r="D1005" t="str">
            <v>Always_On</v>
          </cell>
          <cell r="E1005" t="str">
            <v>SA</v>
          </cell>
          <cell r="F1005" t="str">
            <v>Search</v>
          </cell>
          <cell r="G1005">
            <v>4396</v>
          </cell>
          <cell r="H1005">
            <v>65815</v>
          </cell>
          <cell r="I1005">
            <v>54894</v>
          </cell>
          <cell r="J1005">
            <v>1403</v>
          </cell>
        </row>
        <row r="1006">
          <cell r="A1006" t="str">
            <v>Always_OnEGYouTube</v>
          </cell>
          <cell r="B1006">
            <v>45362</v>
          </cell>
          <cell r="C1006">
            <v>45362</v>
          </cell>
          <cell r="D1006" t="str">
            <v>Always_On</v>
          </cell>
          <cell r="E1006" t="str">
            <v>EG</v>
          </cell>
          <cell r="F1006" t="str">
            <v>YouTube</v>
          </cell>
          <cell r="G1006">
            <v>3588</v>
          </cell>
          <cell r="H1006">
            <v>284610</v>
          </cell>
          <cell r="I1006">
            <v>125148</v>
          </cell>
          <cell r="J1006">
            <v>448</v>
          </cell>
        </row>
        <row r="1007">
          <cell r="A1007" t="str">
            <v>Always_OnEGSocial</v>
          </cell>
          <cell r="B1007">
            <v>45362</v>
          </cell>
          <cell r="C1007">
            <v>45362</v>
          </cell>
          <cell r="D1007" t="str">
            <v>Always_On</v>
          </cell>
          <cell r="E1007" t="str">
            <v>EG</v>
          </cell>
          <cell r="F1007" t="str">
            <v>Social</v>
          </cell>
          <cell r="G1007">
            <v>3986</v>
          </cell>
          <cell r="H1007">
            <v>307021</v>
          </cell>
          <cell r="I1007">
            <v>108546</v>
          </cell>
          <cell r="J1007">
            <v>461</v>
          </cell>
        </row>
        <row r="1008">
          <cell r="A1008" t="str">
            <v>Always_OnEGDisplay</v>
          </cell>
          <cell r="B1008">
            <v>45362</v>
          </cell>
          <cell r="C1008">
            <v>45362</v>
          </cell>
          <cell r="D1008" t="str">
            <v>Always_On</v>
          </cell>
          <cell r="E1008" t="str">
            <v>EG</v>
          </cell>
          <cell r="F1008" t="str">
            <v>Display</v>
          </cell>
          <cell r="G1008">
            <v>2752</v>
          </cell>
          <cell r="H1008">
            <v>807799</v>
          </cell>
          <cell r="I1008">
            <v>187118</v>
          </cell>
          <cell r="J1008">
            <v>83</v>
          </cell>
        </row>
        <row r="1009">
          <cell r="A1009" t="str">
            <v>Always_OnEGSearch</v>
          </cell>
          <cell r="B1009">
            <v>45362</v>
          </cell>
          <cell r="C1009">
            <v>45362</v>
          </cell>
          <cell r="D1009" t="str">
            <v>Always_On</v>
          </cell>
          <cell r="E1009" t="str">
            <v>EG</v>
          </cell>
          <cell r="F1009" t="str">
            <v>Search</v>
          </cell>
          <cell r="G1009">
            <v>3629</v>
          </cell>
          <cell r="H1009">
            <v>41628</v>
          </cell>
          <cell r="I1009">
            <v>37045</v>
          </cell>
          <cell r="J1009">
            <v>1238</v>
          </cell>
        </row>
        <row r="1010">
          <cell r="A1010" t="str">
            <v>Always_OnUKYouTube</v>
          </cell>
          <cell r="B1010">
            <v>45369</v>
          </cell>
          <cell r="C1010">
            <v>45369</v>
          </cell>
          <cell r="D1010" t="str">
            <v>Always_On</v>
          </cell>
          <cell r="E1010" t="str">
            <v>UK</v>
          </cell>
          <cell r="F1010" t="str">
            <v>YouTube</v>
          </cell>
          <cell r="G1010">
            <v>4494</v>
          </cell>
          <cell r="H1010">
            <v>327764</v>
          </cell>
          <cell r="I1010">
            <v>127795</v>
          </cell>
          <cell r="J1010">
            <v>137</v>
          </cell>
        </row>
        <row r="1011">
          <cell r="A1011" t="str">
            <v>Always_OnUKSocial</v>
          </cell>
          <cell r="B1011">
            <v>45369</v>
          </cell>
          <cell r="C1011">
            <v>45369</v>
          </cell>
          <cell r="D1011" t="str">
            <v>Always_On</v>
          </cell>
          <cell r="E1011" t="str">
            <v>UK</v>
          </cell>
          <cell r="F1011" t="str">
            <v>Social</v>
          </cell>
          <cell r="G1011">
            <v>3620</v>
          </cell>
          <cell r="H1011">
            <v>199047</v>
          </cell>
          <cell r="I1011">
            <v>82419</v>
          </cell>
          <cell r="J1011">
            <v>112</v>
          </cell>
        </row>
        <row r="1012">
          <cell r="A1012" t="str">
            <v>Always_OnUKDisplay</v>
          </cell>
          <cell r="B1012">
            <v>45369</v>
          </cell>
          <cell r="C1012">
            <v>45369</v>
          </cell>
          <cell r="D1012" t="str">
            <v>Always_On</v>
          </cell>
          <cell r="E1012" t="str">
            <v>UK</v>
          </cell>
          <cell r="F1012" t="str">
            <v>Display</v>
          </cell>
          <cell r="G1012">
            <v>3989</v>
          </cell>
          <cell r="H1012">
            <v>1186488</v>
          </cell>
          <cell r="I1012">
            <v>220403</v>
          </cell>
          <cell r="J1012">
            <v>30</v>
          </cell>
        </row>
        <row r="1013">
          <cell r="A1013" t="str">
            <v>Always_OnUKSearch</v>
          </cell>
          <cell r="B1013">
            <v>45369</v>
          </cell>
          <cell r="C1013">
            <v>45369</v>
          </cell>
          <cell r="D1013" t="str">
            <v>Always_On</v>
          </cell>
          <cell r="E1013" t="str">
            <v>UK</v>
          </cell>
          <cell r="F1013" t="str">
            <v>Search</v>
          </cell>
          <cell r="G1013">
            <v>3530</v>
          </cell>
          <cell r="H1013">
            <v>50123</v>
          </cell>
          <cell r="I1013">
            <v>42441</v>
          </cell>
          <cell r="J1013">
            <v>320</v>
          </cell>
        </row>
        <row r="1014">
          <cell r="A1014" t="str">
            <v>Always_OnDEYouTube</v>
          </cell>
          <cell r="B1014">
            <v>45369</v>
          </cell>
          <cell r="C1014">
            <v>45369</v>
          </cell>
          <cell r="D1014" t="str">
            <v>Always_On</v>
          </cell>
          <cell r="E1014" t="str">
            <v>DE</v>
          </cell>
          <cell r="F1014" t="str">
            <v>YouTube</v>
          </cell>
          <cell r="G1014">
            <v>4002</v>
          </cell>
          <cell r="H1014">
            <v>332142</v>
          </cell>
          <cell r="I1014">
            <v>132719</v>
          </cell>
          <cell r="J1014">
            <v>121</v>
          </cell>
        </row>
        <row r="1015">
          <cell r="A1015" t="str">
            <v>Always_OnDESocial</v>
          </cell>
          <cell r="B1015">
            <v>45369</v>
          </cell>
          <cell r="C1015">
            <v>45369</v>
          </cell>
          <cell r="D1015" t="str">
            <v>Always_On</v>
          </cell>
          <cell r="E1015" t="str">
            <v>DE</v>
          </cell>
          <cell r="F1015" t="str">
            <v>Social</v>
          </cell>
          <cell r="G1015">
            <v>6767</v>
          </cell>
          <cell r="H1015">
            <v>605456</v>
          </cell>
          <cell r="I1015">
            <v>289098</v>
          </cell>
          <cell r="J1015">
            <v>235</v>
          </cell>
        </row>
        <row r="1016">
          <cell r="A1016" t="str">
            <v>Always_OnDEDisplay</v>
          </cell>
          <cell r="B1016">
            <v>45369</v>
          </cell>
          <cell r="C1016">
            <v>45369</v>
          </cell>
          <cell r="D1016" t="str">
            <v>Always_On</v>
          </cell>
          <cell r="E1016" t="str">
            <v>DE</v>
          </cell>
          <cell r="F1016" t="str">
            <v>Display</v>
          </cell>
          <cell r="G1016">
            <v>2504</v>
          </cell>
          <cell r="H1016">
            <v>728581</v>
          </cell>
          <cell r="I1016">
            <v>125068</v>
          </cell>
          <cell r="J1016">
            <v>18</v>
          </cell>
        </row>
        <row r="1017">
          <cell r="A1017" t="str">
            <v>Always_OnDESearch</v>
          </cell>
          <cell r="B1017">
            <v>45369</v>
          </cell>
          <cell r="C1017">
            <v>45369</v>
          </cell>
          <cell r="D1017" t="str">
            <v>Always_On</v>
          </cell>
          <cell r="E1017" t="str">
            <v>DE</v>
          </cell>
          <cell r="F1017" t="str">
            <v>Search</v>
          </cell>
          <cell r="G1017">
            <v>3468</v>
          </cell>
          <cell r="H1017">
            <v>51700</v>
          </cell>
          <cell r="I1017">
            <v>43439</v>
          </cell>
          <cell r="J1017">
            <v>280</v>
          </cell>
        </row>
        <row r="1018">
          <cell r="A1018" t="str">
            <v>Always_OnSAYouTube</v>
          </cell>
          <cell r="B1018">
            <v>45369</v>
          </cell>
          <cell r="C1018">
            <v>45369</v>
          </cell>
          <cell r="D1018" t="str">
            <v>Always_On</v>
          </cell>
          <cell r="E1018" t="str">
            <v>SA</v>
          </cell>
          <cell r="F1018" t="str">
            <v>YouTube</v>
          </cell>
          <cell r="G1018">
            <v>4484</v>
          </cell>
          <cell r="H1018">
            <v>224716</v>
          </cell>
          <cell r="I1018">
            <v>89862</v>
          </cell>
          <cell r="J1018">
            <v>556</v>
          </cell>
        </row>
        <row r="1019">
          <cell r="A1019" t="str">
            <v>Always_OnSASocial</v>
          </cell>
          <cell r="B1019">
            <v>45369</v>
          </cell>
          <cell r="C1019">
            <v>45369</v>
          </cell>
          <cell r="D1019" t="str">
            <v>Always_On</v>
          </cell>
          <cell r="E1019" t="str">
            <v>SA</v>
          </cell>
          <cell r="F1019" t="str">
            <v>Social</v>
          </cell>
          <cell r="G1019">
            <v>4683</v>
          </cell>
          <cell r="H1019">
            <v>239047</v>
          </cell>
          <cell r="I1019">
            <v>80343</v>
          </cell>
          <cell r="J1019">
            <v>590</v>
          </cell>
        </row>
        <row r="1020">
          <cell r="A1020" t="str">
            <v>Always_OnSADisplay</v>
          </cell>
          <cell r="B1020">
            <v>45369</v>
          </cell>
          <cell r="C1020">
            <v>45369</v>
          </cell>
          <cell r="D1020" t="str">
            <v>Always_On</v>
          </cell>
          <cell r="E1020" t="str">
            <v>SA</v>
          </cell>
          <cell r="F1020" t="str">
            <v>Display</v>
          </cell>
          <cell r="G1020">
            <v>1757</v>
          </cell>
          <cell r="H1020">
            <v>492644</v>
          </cell>
          <cell r="I1020">
            <v>94163</v>
          </cell>
          <cell r="J1020">
            <v>54</v>
          </cell>
        </row>
        <row r="1021">
          <cell r="A1021" t="str">
            <v>Always_OnSASearch</v>
          </cell>
          <cell r="B1021">
            <v>45369</v>
          </cell>
          <cell r="C1021">
            <v>45369</v>
          </cell>
          <cell r="D1021" t="str">
            <v>Always_On</v>
          </cell>
          <cell r="E1021" t="str">
            <v>SA</v>
          </cell>
          <cell r="F1021" t="str">
            <v>Search</v>
          </cell>
          <cell r="G1021">
            <v>2181</v>
          </cell>
          <cell r="H1021">
            <v>25488</v>
          </cell>
          <cell r="I1021">
            <v>21539</v>
          </cell>
          <cell r="J1021">
            <v>643</v>
          </cell>
        </row>
        <row r="1022">
          <cell r="A1022" t="str">
            <v>Always_OnEGYouTube</v>
          </cell>
          <cell r="B1022">
            <v>45369</v>
          </cell>
          <cell r="C1022">
            <v>45369</v>
          </cell>
          <cell r="D1022" t="str">
            <v>Always_On</v>
          </cell>
          <cell r="E1022" t="str">
            <v>EG</v>
          </cell>
          <cell r="F1022" t="str">
            <v>YouTube</v>
          </cell>
          <cell r="G1022">
            <v>4335</v>
          </cell>
          <cell r="H1022">
            <v>251976</v>
          </cell>
          <cell r="I1022">
            <v>93651</v>
          </cell>
          <cell r="J1022">
            <v>541</v>
          </cell>
        </row>
        <row r="1023">
          <cell r="A1023" t="str">
            <v>Always_OnEGSocial</v>
          </cell>
          <cell r="B1023">
            <v>45369</v>
          </cell>
          <cell r="C1023">
            <v>45369</v>
          </cell>
          <cell r="D1023" t="str">
            <v>Always_On</v>
          </cell>
          <cell r="E1023" t="str">
            <v>EG</v>
          </cell>
          <cell r="F1023" t="str">
            <v>Social</v>
          </cell>
          <cell r="G1023">
            <v>4248</v>
          </cell>
          <cell r="H1023">
            <v>298515</v>
          </cell>
          <cell r="I1023">
            <v>107187</v>
          </cell>
          <cell r="J1023">
            <v>484</v>
          </cell>
        </row>
        <row r="1024">
          <cell r="A1024" t="str">
            <v>Always_OnEGDisplay</v>
          </cell>
          <cell r="B1024">
            <v>45369</v>
          </cell>
          <cell r="C1024">
            <v>45369</v>
          </cell>
          <cell r="D1024" t="str">
            <v>Always_On</v>
          </cell>
          <cell r="E1024" t="str">
            <v>EG</v>
          </cell>
          <cell r="F1024" t="str">
            <v>Display</v>
          </cell>
          <cell r="G1024">
            <v>2040</v>
          </cell>
          <cell r="H1024">
            <v>492473</v>
          </cell>
          <cell r="I1024">
            <v>106292</v>
          </cell>
          <cell r="J1024">
            <v>65</v>
          </cell>
        </row>
        <row r="1025">
          <cell r="A1025" t="str">
            <v>Always_OnEGSearch</v>
          </cell>
          <cell r="B1025">
            <v>45369</v>
          </cell>
          <cell r="C1025">
            <v>45369</v>
          </cell>
          <cell r="D1025" t="str">
            <v>Always_On</v>
          </cell>
          <cell r="E1025" t="str">
            <v>EG</v>
          </cell>
          <cell r="F1025" t="str">
            <v>Search</v>
          </cell>
          <cell r="G1025">
            <v>3747</v>
          </cell>
          <cell r="H1025">
            <v>44475</v>
          </cell>
          <cell r="I1025">
            <v>39619</v>
          </cell>
          <cell r="J1025">
            <v>1143</v>
          </cell>
        </row>
        <row r="1026">
          <cell r="A1026" t="str">
            <v>Always_OnUKYouTube</v>
          </cell>
          <cell r="B1026">
            <v>45376</v>
          </cell>
          <cell r="C1026">
            <v>45376</v>
          </cell>
          <cell r="D1026" t="str">
            <v>Always_On</v>
          </cell>
          <cell r="E1026" t="str">
            <v>UK</v>
          </cell>
          <cell r="F1026" t="str">
            <v>YouTube</v>
          </cell>
          <cell r="G1026">
            <v>5638</v>
          </cell>
          <cell r="H1026">
            <v>402448</v>
          </cell>
          <cell r="I1026">
            <v>142142</v>
          </cell>
          <cell r="J1026">
            <v>197</v>
          </cell>
        </row>
        <row r="1027">
          <cell r="A1027" t="str">
            <v>Always_OnUKSocial</v>
          </cell>
          <cell r="B1027">
            <v>45376</v>
          </cell>
          <cell r="C1027">
            <v>45376</v>
          </cell>
          <cell r="D1027" t="str">
            <v>Always_On</v>
          </cell>
          <cell r="E1027" t="str">
            <v>UK</v>
          </cell>
          <cell r="F1027" t="str">
            <v>Social</v>
          </cell>
          <cell r="G1027">
            <v>5247</v>
          </cell>
          <cell r="H1027">
            <v>463540</v>
          </cell>
          <cell r="I1027">
            <v>166964</v>
          </cell>
          <cell r="J1027">
            <v>178</v>
          </cell>
        </row>
        <row r="1028">
          <cell r="A1028" t="str">
            <v>Always_OnUKDisplay</v>
          </cell>
          <cell r="B1028">
            <v>45376</v>
          </cell>
          <cell r="C1028">
            <v>45376</v>
          </cell>
          <cell r="D1028" t="str">
            <v>Always_On</v>
          </cell>
          <cell r="E1028" t="str">
            <v>UK</v>
          </cell>
          <cell r="F1028" t="str">
            <v>Display</v>
          </cell>
          <cell r="G1028">
            <v>3720</v>
          </cell>
          <cell r="H1028">
            <v>1047942</v>
          </cell>
          <cell r="I1028">
            <v>245828</v>
          </cell>
          <cell r="J1028">
            <v>34</v>
          </cell>
        </row>
        <row r="1029">
          <cell r="A1029" t="str">
            <v>Always_OnUKSearch</v>
          </cell>
          <cell r="B1029">
            <v>45376</v>
          </cell>
          <cell r="C1029">
            <v>45376</v>
          </cell>
          <cell r="D1029" t="str">
            <v>Always_On</v>
          </cell>
          <cell r="E1029" t="str">
            <v>UK</v>
          </cell>
          <cell r="F1029" t="str">
            <v>Search</v>
          </cell>
          <cell r="G1029">
            <v>5954</v>
          </cell>
          <cell r="H1029">
            <v>63223</v>
          </cell>
          <cell r="I1029">
            <v>53481</v>
          </cell>
          <cell r="J1029">
            <v>475</v>
          </cell>
        </row>
        <row r="1030">
          <cell r="A1030" t="str">
            <v>Always_OnDEYouTube</v>
          </cell>
          <cell r="B1030">
            <v>45376</v>
          </cell>
          <cell r="C1030">
            <v>45376</v>
          </cell>
          <cell r="D1030" t="str">
            <v>Always_On</v>
          </cell>
          <cell r="E1030" t="str">
            <v>DE</v>
          </cell>
          <cell r="F1030" t="str">
            <v>YouTube</v>
          </cell>
          <cell r="G1030">
            <v>8025</v>
          </cell>
          <cell r="H1030">
            <v>493888</v>
          </cell>
          <cell r="I1030">
            <v>212992</v>
          </cell>
          <cell r="J1030">
            <v>264</v>
          </cell>
        </row>
        <row r="1031">
          <cell r="A1031" t="str">
            <v>Always_OnDESocial</v>
          </cell>
          <cell r="B1031">
            <v>45376</v>
          </cell>
          <cell r="C1031">
            <v>45376</v>
          </cell>
          <cell r="D1031" t="str">
            <v>Always_On</v>
          </cell>
          <cell r="E1031" t="str">
            <v>DE</v>
          </cell>
          <cell r="F1031" t="str">
            <v>Social</v>
          </cell>
          <cell r="G1031">
            <v>7290</v>
          </cell>
          <cell r="H1031">
            <v>384954</v>
          </cell>
          <cell r="I1031">
            <v>159412</v>
          </cell>
          <cell r="J1031">
            <v>267</v>
          </cell>
        </row>
        <row r="1032">
          <cell r="A1032" t="str">
            <v>Always_OnDEDisplay</v>
          </cell>
          <cell r="B1032">
            <v>45376</v>
          </cell>
          <cell r="C1032">
            <v>45376</v>
          </cell>
          <cell r="D1032" t="str">
            <v>Always_On</v>
          </cell>
          <cell r="E1032" t="str">
            <v>DE</v>
          </cell>
          <cell r="F1032" t="str">
            <v>Display</v>
          </cell>
          <cell r="G1032">
            <v>4150</v>
          </cell>
          <cell r="H1032">
            <v>1021238</v>
          </cell>
          <cell r="I1032">
            <v>180999</v>
          </cell>
          <cell r="J1032">
            <v>33</v>
          </cell>
        </row>
        <row r="1033">
          <cell r="A1033" t="str">
            <v>Always_OnDESearch</v>
          </cell>
          <cell r="B1033">
            <v>45376</v>
          </cell>
          <cell r="C1033">
            <v>45376</v>
          </cell>
          <cell r="D1033" t="str">
            <v>Always_On</v>
          </cell>
          <cell r="E1033" t="str">
            <v>DE</v>
          </cell>
          <cell r="F1033" t="str">
            <v>Search</v>
          </cell>
          <cell r="G1033">
            <v>3750</v>
          </cell>
          <cell r="H1033">
            <v>52238</v>
          </cell>
          <cell r="I1033">
            <v>44910</v>
          </cell>
          <cell r="J1033">
            <v>298</v>
          </cell>
        </row>
        <row r="1034">
          <cell r="A1034" t="str">
            <v>Always_OnSAYouTube</v>
          </cell>
          <cell r="B1034">
            <v>45376</v>
          </cell>
          <cell r="C1034">
            <v>45376</v>
          </cell>
          <cell r="D1034" t="str">
            <v>Always_On</v>
          </cell>
          <cell r="E1034" t="str">
            <v>SA</v>
          </cell>
          <cell r="F1034" t="str">
            <v>YouTube</v>
          </cell>
          <cell r="G1034">
            <v>4338</v>
          </cell>
          <cell r="H1034">
            <v>252282</v>
          </cell>
          <cell r="I1034">
            <v>100453</v>
          </cell>
          <cell r="J1034">
            <v>498</v>
          </cell>
        </row>
        <row r="1035">
          <cell r="A1035" t="str">
            <v>Always_OnSASocial</v>
          </cell>
          <cell r="B1035">
            <v>45376</v>
          </cell>
          <cell r="C1035">
            <v>45376</v>
          </cell>
          <cell r="D1035" t="str">
            <v>Always_On</v>
          </cell>
          <cell r="E1035" t="str">
            <v>SA</v>
          </cell>
          <cell r="F1035" t="str">
            <v>Social</v>
          </cell>
          <cell r="G1035">
            <v>3475</v>
          </cell>
          <cell r="H1035">
            <v>205272</v>
          </cell>
          <cell r="I1035">
            <v>77141</v>
          </cell>
          <cell r="J1035">
            <v>398</v>
          </cell>
        </row>
        <row r="1036">
          <cell r="A1036" t="str">
            <v>Always_OnSADisplay</v>
          </cell>
          <cell r="B1036">
            <v>45376</v>
          </cell>
          <cell r="C1036">
            <v>45376</v>
          </cell>
          <cell r="D1036" t="str">
            <v>Always_On</v>
          </cell>
          <cell r="E1036" t="str">
            <v>SA</v>
          </cell>
          <cell r="F1036" t="str">
            <v>Display</v>
          </cell>
          <cell r="G1036">
            <v>2036</v>
          </cell>
          <cell r="H1036">
            <v>466681</v>
          </cell>
          <cell r="I1036">
            <v>80923</v>
          </cell>
          <cell r="J1036">
            <v>63</v>
          </cell>
        </row>
        <row r="1037">
          <cell r="A1037" t="str">
            <v>Always_OnSASearch</v>
          </cell>
          <cell r="B1037">
            <v>45376</v>
          </cell>
          <cell r="C1037">
            <v>45376</v>
          </cell>
          <cell r="D1037" t="str">
            <v>Always_On</v>
          </cell>
          <cell r="E1037" t="str">
            <v>SA</v>
          </cell>
          <cell r="F1037" t="str">
            <v>Search</v>
          </cell>
          <cell r="G1037">
            <v>3278</v>
          </cell>
          <cell r="H1037">
            <v>43876</v>
          </cell>
          <cell r="I1037">
            <v>37362</v>
          </cell>
          <cell r="J1037">
            <v>1077</v>
          </cell>
        </row>
        <row r="1038">
          <cell r="A1038" t="str">
            <v>Always_OnEGYouTube</v>
          </cell>
          <cell r="B1038">
            <v>45376</v>
          </cell>
          <cell r="C1038">
            <v>45376</v>
          </cell>
          <cell r="D1038" t="str">
            <v>Always_On</v>
          </cell>
          <cell r="E1038" t="str">
            <v>EG</v>
          </cell>
          <cell r="F1038" t="str">
            <v>YouTube</v>
          </cell>
          <cell r="G1038">
            <v>3780</v>
          </cell>
          <cell r="H1038">
            <v>252514</v>
          </cell>
          <cell r="I1038">
            <v>106388</v>
          </cell>
          <cell r="J1038">
            <v>497</v>
          </cell>
        </row>
        <row r="1039">
          <cell r="A1039" t="str">
            <v>Always_OnEGSocial</v>
          </cell>
          <cell r="B1039">
            <v>45376</v>
          </cell>
          <cell r="C1039">
            <v>45376</v>
          </cell>
          <cell r="D1039" t="str">
            <v>Always_On</v>
          </cell>
          <cell r="E1039" t="str">
            <v>EG</v>
          </cell>
          <cell r="F1039" t="str">
            <v>Social</v>
          </cell>
          <cell r="G1039">
            <v>4650</v>
          </cell>
          <cell r="H1039">
            <v>388204</v>
          </cell>
          <cell r="I1039">
            <v>192197</v>
          </cell>
          <cell r="J1039">
            <v>609</v>
          </cell>
        </row>
        <row r="1040">
          <cell r="A1040" t="str">
            <v>Always_OnEGDisplay</v>
          </cell>
          <cell r="B1040">
            <v>45376</v>
          </cell>
          <cell r="C1040">
            <v>45376</v>
          </cell>
          <cell r="D1040" t="str">
            <v>Always_On</v>
          </cell>
          <cell r="E1040" t="str">
            <v>EG</v>
          </cell>
          <cell r="F1040" t="str">
            <v>Display</v>
          </cell>
          <cell r="G1040">
            <v>2044</v>
          </cell>
          <cell r="H1040">
            <v>515857</v>
          </cell>
          <cell r="I1040">
            <v>97567</v>
          </cell>
          <cell r="J1040">
            <v>58</v>
          </cell>
        </row>
        <row r="1041">
          <cell r="A1041" t="str">
            <v>Always_OnEGSearch</v>
          </cell>
          <cell r="B1041">
            <v>45376</v>
          </cell>
          <cell r="C1041">
            <v>45376</v>
          </cell>
          <cell r="D1041" t="str">
            <v>Always_On</v>
          </cell>
          <cell r="E1041" t="str">
            <v>EG</v>
          </cell>
          <cell r="F1041" t="str">
            <v>Search</v>
          </cell>
          <cell r="G1041">
            <v>2249</v>
          </cell>
          <cell r="H1041">
            <v>24933</v>
          </cell>
          <cell r="I1041">
            <v>21997</v>
          </cell>
          <cell r="J1041">
            <v>666</v>
          </cell>
        </row>
        <row r="1042">
          <cell r="A1042" t="str">
            <v>Always_OnUKYouTube</v>
          </cell>
          <cell r="B1042">
            <v>45383</v>
          </cell>
          <cell r="C1042">
            <v>45383</v>
          </cell>
          <cell r="D1042" t="str">
            <v>Always_On</v>
          </cell>
          <cell r="E1042" t="str">
            <v>UK</v>
          </cell>
          <cell r="F1042" t="str">
            <v>YouTube</v>
          </cell>
          <cell r="G1042">
            <v>7018</v>
          </cell>
          <cell r="H1042">
            <v>414988</v>
          </cell>
          <cell r="I1042">
            <v>142740</v>
          </cell>
          <cell r="J1042">
            <v>220</v>
          </cell>
        </row>
        <row r="1043">
          <cell r="A1043" t="str">
            <v>Always_OnUKSocial</v>
          </cell>
          <cell r="B1043">
            <v>45383</v>
          </cell>
          <cell r="C1043">
            <v>45383</v>
          </cell>
          <cell r="D1043" t="str">
            <v>Always_On</v>
          </cell>
          <cell r="E1043" t="str">
            <v>UK</v>
          </cell>
          <cell r="F1043" t="str">
            <v>Social</v>
          </cell>
          <cell r="G1043">
            <v>5767</v>
          </cell>
          <cell r="H1043">
            <v>461214</v>
          </cell>
          <cell r="I1043">
            <v>175997</v>
          </cell>
          <cell r="J1043">
            <v>180</v>
          </cell>
        </row>
        <row r="1044">
          <cell r="A1044" t="str">
            <v>Always_OnUKDisplay</v>
          </cell>
          <cell r="B1044">
            <v>45383</v>
          </cell>
          <cell r="C1044">
            <v>45383</v>
          </cell>
          <cell r="D1044" t="str">
            <v>Always_On</v>
          </cell>
          <cell r="E1044" t="str">
            <v>UK</v>
          </cell>
          <cell r="F1044" t="str">
            <v>Display</v>
          </cell>
          <cell r="G1044">
            <v>2076</v>
          </cell>
          <cell r="H1044">
            <v>464921</v>
          </cell>
          <cell r="I1044">
            <v>88923</v>
          </cell>
          <cell r="J1044">
            <v>16</v>
          </cell>
        </row>
        <row r="1045">
          <cell r="A1045" t="str">
            <v>Always_OnUKSearch</v>
          </cell>
          <cell r="B1045">
            <v>45383</v>
          </cell>
          <cell r="C1045">
            <v>45383</v>
          </cell>
          <cell r="D1045" t="str">
            <v>Always_On</v>
          </cell>
          <cell r="E1045" t="str">
            <v>UK</v>
          </cell>
          <cell r="F1045" t="str">
            <v>Search</v>
          </cell>
          <cell r="G1045">
            <v>4925</v>
          </cell>
          <cell r="H1045">
            <v>53203</v>
          </cell>
          <cell r="I1045">
            <v>48001</v>
          </cell>
          <cell r="J1045">
            <v>421</v>
          </cell>
        </row>
        <row r="1046">
          <cell r="A1046" t="str">
            <v>Always_OnDEYouTube</v>
          </cell>
          <cell r="B1046">
            <v>45383</v>
          </cell>
          <cell r="C1046">
            <v>45383</v>
          </cell>
          <cell r="D1046" t="str">
            <v>Always_On</v>
          </cell>
          <cell r="E1046" t="str">
            <v>DE</v>
          </cell>
          <cell r="F1046" t="str">
            <v>YouTube</v>
          </cell>
          <cell r="G1046">
            <v>3362</v>
          </cell>
          <cell r="H1046">
            <v>224787</v>
          </cell>
          <cell r="I1046">
            <v>104990</v>
          </cell>
          <cell r="J1046">
            <v>105</v>
          </cell>
        </row>
        <row r="1047">
          <cell r="A1047" t="str">
            <v>Always_OnDESocial</v>
          </cell>
          <cell r="B1047">
            <v>45383</v>
          </cell>
          <cell r="C1047">
            <v>45383</v>
          </cell>
          <cell r="D1047" t="str">
            <v>Always_On</v>
          </cell>
          <cell r="E1047" t="str">
            <v>DE</v>
          </cell>
          <cell r="F1047" t="str">
            <v>Social</v>
          </cell>
          <cell r="G1047">
            <v>5913</v>
          </cell>
          <cell r="H1047">
            <v>303241</v>
          </cell>
          <cell r="I1047">
            <v>102519</v>
          </cell>
          <cell r="J1047">
            <v>185</v>
          </cell>
        </row>
        <row r="1048">
          <cell r="A1048" t="str">
            <v>Always_OnDEDisplay</v>
          </cell>
          <cell r="B1048">
            <v>45383</v>
          </cell>
          <cell r="C1048">
            <v>45383</v>
          </cell>
          <cell r="D1048" t="str">
            <v>Always_On</v>
          </cell>
          <cell r="E1048" t="str">
            <v>DE</v>
          </cell>
          <cell r="F1048" t="str">
            <v>Display</v>
          </cell>
          <cell r="G1048">
            <v>4082</v>
          </cell>
          <cell r="H1048">
            <v>912934</v>
          </cell>
          <cell r="I1048">
            <v>152817</v>
          </cell>
          <cell r="J1048">
            <v>36</v>
          </cell>
        </row>
        <row r="1049">
          <cell r="A1049" t="str">
            <v>Always_OnDESearch</v>
          </cell>
          <cell r="B1049">
            <v>45383</v>
          </cell>
          <cell r="C1049">
            <v>45383</v>
          </cell>
          <cell r="D1049" t="str">
            <v>Always_On</v>
          </cell>
          <cell r="E1049" t="str">
            <v>DE</v>
          </cell>
          <cell r="F1049" t="str">
            <v>Search</v>
          </cell>
          <cell r="G1049">
            <v>5520</v>
          </cell>
          <cell r="H1049">
            <v>82423</v>
          </cell>
          <cell r="I1049">
            <v>73540</v>
          </cell>
          <cell r="J1049">
            <v>463</v>
          </cell>
        </row>
        <row r="1050">
          <cell r="A1050" t="str">
            <v>Always_OnSAYouTube</v>
          </cell>
          <cell r="B1050">
            <v>45383</v>
          </cell>
          <cell r="C1050">
            <v>45383</v>
          </cell>
          <cell r="D1050" t="str">
            <v>Always_On</v>
          </cell>
          <cell r="E1050" t="str">
            <v>SA</v>
          </cell>
          <cell r="F1050" t="str">
            <v>YouTube</v>
          </cell>
          <cell r="G1050">
            <v>3214</v>
          </cell>
          <cell r="H1050">
            <v>220124</v>
          </cell>
          <cell r="I1050">
            <v>103830</v>
          </cell>
          <cell r="J1050">
            <v>415</v>
          </cell>
        </row>
        <row r="1051">
          <cell r="A1051" t="str">
            <v>Always_OnSASocial</v>
          </cell>
          <cell r="B1051">
            <v>45383</v>
          </cell>
          <cell r="C1051">
            <v>45383</v>
          </cell>
          <cell r="D1051" t="str">
            <v>Always_On</v>
          </cell>
          <cell r="E1051" t="str">
            <v>SA</v>
          </cell>
          <cell r="F1051" t="str">
            <v>Social</v>
          </cell>
          <cell r="G1051">
            <v>2101</v>
          </cell>
          <cell r="H1051">
            <v>184978</v>
          </cell>
          <cell r="I1051">
            <v>79240</v>
          </cell>
          <cell r="J1051">
            <v>254</v>
          </cell>
        </row>
        <row r="1052">
          <cell r="A1052" t="str">
            <v>Always_OnSADisplay</v>
          </cell>
          <cell r="B1052">
            <v>45383</v>
          </cell>
          <cell r="C1052">
            <v>45383</v>
          </cell>
          <cell r="D1052" t="str">
            <v>Always_On</v>
          </cell>
          <cell r="E1052" t="str">
            <v>SA</v>
          </cell>
          <cell r="F1052" t="str">
            <v>Display</v>
          </cell>
          <cell r="G1052">
            <v>1888</v>
          </cell>
          <cell r="H1052">
            <v>446434</v>
          </cell>
          <cell r="I1052">
            <v>75152</v>
          </cell>
          <cell r="J1052">
            <v>60</v>
          </cell>
        </row>
        <row r="1053">
          <cell r="A1053" t="str">
            <v>Always_OnSASearch</v>
          </cell>
          <cell r="B1053">
            <v>45383</v>
          </cell>
          <cell r="C1053">
            <v>45383</v>
          </cell>
          <cell r="D1053" t="str">
            <v>Always_On</v>
          </cell>
          <cell r="E1053" t="str">
            <v>SA</v>
          </cell>
          <cell r="F1053" t="str">
            <v>Search</v>
          </cell>
          <cell r="G1053">
            <v>2354</v>
          </cell>
          <cell r="H1053">
            <v>24868</v>
          </cell>
          <cell r="I1053">
            <v>22604</v>
          </cell>
          <cell r="J1053">
            <v>713</v>
          </cell>
        </row>
        <row r="1054">
          <cell r="A1054" t="str">
            <v>Always_OnEGYouTube</v>
          </cell>
          <cell r="B1054">
            <v>45383</v>
          </cell>
          <cell r="C1054">
            <v>45383</v>
          </cell>
          <cell r="D1054" t="str">
            <v>Always_On</v>
          </cell>
          <cell r="E1054" t="str">
            <v>EG</v>
          </cell>
          <cell r="F1054" t="str">
            <v>YouTube</v>
          </cell>
          <cell r="G1054">
            <v>4474</v>
          </cell>
          <cell r="H1054">
            <v>306764</v>
          </cell>
          <cell r="I1054">
            <v>115352</v>
          </cell>
          <cell r="J1054">
            <v>528</v>
          </cell>
        </row>
        <row r="1055">
          <cell r="A1055" t="str">
            <v>Always_OnEGSocial</v>
          </cell>
          <cell r="B1055">
            <v>45383</v>
          </cell>
          <cell r="C1055">
            <v>45383</v>
          </cell>
          <cell r="D1055" t="str">
            <v>Always_On</v>
          </cell>
          <cell r="E1055" t="str">
            <v>EG</v>
          </cell>
          <cell r="F1055" t="str">
            <v>Social</v>
          </cell>
          <cell r="G1055">
            <v>2440</v>
          </cell>
          <cell r="H1055">
            <v>159607</v>
          </cell>
          <cell r="I1055">
            <v>60777</v>
          </cell>
          <cell r="J1055">
            <v>279</v>
          </cell>
        </row>
        <row r="1056">
          <cell r="A1056" t="str">
            <v>Always_OnEGDisplay</v>
          </cell>
          <cell r="B1056">
            <v>45383</v>
          </cell>
          <cell r="C1056">
            <v>45383</v>
          </cell>
          <cell r="D1056" t="str">
            <v>Always_On</v>
          </cell>
          <cell r="E1056" t="str">
            <v>EG</v>
          </cell>
          <cell r="F1056" t="str">
            <v>Display</v>
          </cell>
          <cell r="G1056">
            <v>3072</v>
          </cell>
          <cell r="H1056">
            <v>725659</v>
          </cell>
          <cell r="I1056">
            <v>142184</v>
          </cell>
          <cell r="J1056">
            <v>93</v>
          </cell>
        </row>
        <row r="1057">
          <cell r="A1057" t="str">
            <v>Always_OnEGSearch</v>
          </cell>
          <cell r="B1057">
            <v>45383</v>
          </cell>
          <cell r="C1057">
            <v>45383</v>
          </cell>
          <cell r="D1057" t="str">
            <v>Always_On</v>
          </cell>
          <cell r="E1057" t="str">
            <v>EG</v>
          </cell>
          <cell r="F1057" t="str">
            <v>Search</v>
          </cell>
          <cell r="G1057">
            <v>2409</v>
          </cell>
          <cell r="H1057">
            <v>26516</v>
          </cell>
          <cell r="I1057">
            <v>23280</v>
          </cell>
          <cell r="J1057">
            <v>700</v>
          </cell>
        </row>
        <row r="1058">
          <cell r="A1058" t="str">
            <v>Always_OnUKYouTube</v>
          </cell>
          <cell r="B1058">
            <v>45390</v>
          </cell>
          <cell r="C1058">
            <v>45390</v>
          </cell>
          <cell r="D1058" t="str">
            <v>Always_On</v>
          </cell>
          <cell r="E1058" t="str">
            <v>UK</v>
          </cell>
          <cell r="F1058" t="str">
            <v>YouTube</v>
          </cell>
          <cell r="G1058">
            <v>6018</v>
          </cell>
          <cell r="H1058">
            <v>428637</v>
          </cell>
          <cell r="I1058">
            <v>173920</v>
          </cell>
          <cell r="J1058">
            <v>217</v>
          </cell>
        </row>
        <row r="1059">
          <cell r="A1059" t="str">
            <v>Always_OnUKSocial</v>
          </cell>
          <cell r="B1059">
            <v>45390</v>
          </cell>
          <cell r="C1059">
            <v>45390</v>
          </cell>
          <cell r="D1059" t="str">
            <v>Always_On</v>
          </cell>
          <cell r="E1059" t="str">
            <v>UK</v>
          </cell>
          <cell r="F1059" t="str">
            <v>Social</v>
          </cell>
          <cell r="G1059">
            <v>5750</v>
          </cell>
          <cell r="H1059">
            <v>334374</v>
          </cell>
          <cell r="I1059">
            <v>136007</v>
          </cell>
          <cell r="J1059">
            <v>186</v>
          </cell>
        </row>
        <row r="1060">
          <cell r="A1060" t="str">
            <v>Always_OnUKDisplay</v>
          </cell>
          <cell r="B1060">
            <v>45390</v>
          </cell>
          <cell r="C1060">
            <v>45390</v>
          </cell>
          <cell r="D1060" t="str">
            <v>Always_On</v>
          </cell>
          <cell r="E1060" t="str">
            <v>UK</v>
          </cell>
          <cell r="F1060" t="str">
            <v>Display</v>
          </cell>
          <cell r="G1060">
            <v>2873</v>
          </cell>
          <cell r="H1060">
            <v>774474</v>
          </cell>
          <cell r="I1060">
            <v>141790</v>
          </cell>
          <cell r="J1060">
            <v>22</v>
          </cell>
        </row>
        <row r="1061">
          <cell r="A1061" t="str">
            <v>Always_OnUKSearch</v>
          </cell>
          <cell r="B1061">
            <v>45390</v>
          </cell>
          <cell r="C1061">
            <v>45390</v>
          </cell>
          <cell r="D1061" t="str">
            <v>Always_On</v>
          </cell>
          <cell r="E1061" t="str">
            <v>UK</v>
          </cell>
          <cell r="F1061" t="str">
            <v>Search</v>
          </cell>
          <cell r="G1061">
            <v>6376</v>
          </cell>
          <cell r="H1061">
            <v>83535</v>
          </cell>
          <cell r="I1061">
            <v>70795</v>
          </cell>
          <cell r="J1061">
            <v>574</v>
          </cell>
        </row>
        <row r="1062">
          <cell r="A1062" t="str">
            <v>Always_OnDEYouTube</v>
          </cell>
          <cell r="B1062">
            <v>45390</v>
          </cell>
          <cell r="C1062">
            <v>45390</v>
          </cell>
          <cell r="D1062" t="str">
            <v>Always_On</v>
          </cell>
          <cell r="E1062" t="str">
            <v>DE</v>
          </cell>
          <cell r="F1062" t="str">
            <v>YouTube</v>
          </cell>
          <cell r="G1062">
            <v>7636</v>
          </cell>
          <cell r="H1062">
            <v>522261</v>
          </cell>
          <cell r="I1062">
            <v>251274</v>
          </cell>
          <cell r="J1062">
            <v>269</v>
          </cell>
        </row>
        <row r="1063">
          <cell r="A1063" t="str">
            <v>Always_OnDESocial</v>
          </cell>
          <cell r="B1063">
            <v>45390</v>
          </cell>
          <cell r="C1063">
            <v>45390</v>
          </cell>
          <cell r="D1063" t="str">
            <v>Always_On</v>
          </cell>
          <cell r="E1063" t="str">
            <v>DE</v>
          </cell>
          <cell r="F1063" t="str">
            <v>Social</v>
          </cell>
          <cell r="G1063">
            <v>5336</v>
          </cell>
          <cell r="H1063">
            <v>444511</v>
          </cell>
          <cell r="I1063">
            <v>153094</v>
          </cell>
          <cell r="J1063">
            <v>170</v>
          </cell>
        </row>
        <row r="1064">
          <cell r="A1064" t="str">
            <v>Always_OnDEDisplay</v>
          </cell>
          <cell r="B1064">
            <v>45390</v>
          </cell>
          <cell r="C1064">
            <v>45390</v>
          </cell>
          <cell r="D1064" t="str">
            <v>Always_On</v>
          </cell>
          <cell r="E1064" t="str">
            <v>DE</v>
          </cell>
          <cell r="F1064" t="str">
            <v>Display</v>
          </cell>
          <cell r="G1064">
            <v>2456</v>
          </cell>
          <cell r="H1064">
            <v>608750</v>
          </cell>
          <cell r="I1064">
            <v>106011</v>
          </cell>
          <cell r="J1064">
            <v>20</v>
          </cell>
        </row>
        <row r="1065">
          <cell r="A1065" t="str">
            <v>Always_OnDESearch</v>
          </cell>
          <cell r="B1065">
            <v>45390</v>
          </cell>
          <cell r="C1065">
            <v>45390</v>
          </cell>
          <cell r="D1065" t="str">
            <v>Always_On</v>
          </cell>
          <cell r="E1065" t="str">
            <v>DE</v>
          </cell>
          <cell r="F1065" t="str">
            <v>Search</v>
          </cell>
          <cell r="G1065">
            <v>7983</v>
          </cell>
          <cell r="H1065">
            <v>109289</v>
          </cell>
          <cell r="I1065">
            <v>97716</v>
          </cell>
          <cell r="J1065">
            <v>680</v>
          </cell>
        </row>
        <row r="1066">
          <cell r="A1066" t="str">
            <v>Always_OnSAYouTube</v>
          </cell>
          <cell r="B1066">
            <v>45390</v>
          </cell>
          <cell r="C1066">
            <v>45390</v>
          </cell>
          <cell r="D1066" t="str">
            <v>Always_On</v>
          </cell>
          <cell r="E1066" t="str">
            <v>SA</v>
          </cell>
          <cell r="F1066" t="str">
            <v>YouTube</v>
          </cell>
          <cell r="G1066">
            <v>4063</v>
          </cell>
          <cell r="H1066">
            <v>350213</v>
          </cell>
          <cell r="I1066">
            <v>159464</v>
          </cell>
          <cell r="J1066">
            <v>547</v>
          </cell>
        </row>
        <row r="1067">
          <cell r="A1067" t="str">
            <v>Always_OnSASocial</v>
          </cell>
          <cell r="B1067">
            <v>45390</v>
          </cell>
          <cell r="C1067">
            <v>45390</v>
          </cell>
          <cell r="D1067" t="str">
            <v>Always_On</v>
          </cell>
          <cell r="E1067" t="str">
            <v>SA</v>
          </cell>
          <cell r="F1067" t="str">
            <v>Social</v>
          </cell>
          <cell r="G1067">
            <v>2455</v>
          </cell>
          <cell r="H1067">
            <v>162902</v>
          </cell>
          <cell r="I1067">
            <v>59016</v>
          </cell>
          <cell r="J1067">
            <v>337</v>
          </cell>
        </row>
        <row r="1068">
          <cell r="A1068" t="str">
            <v>Always_OnSADisplay</v>
          </cell>
          <cell r="B1068">
            <v>45390</v>
          </cell>
          <cell r="C1068">
            <v>45390</v>
          </cell>
          <cell r="D1068" t="str">
            <v>Always_On</v>
          </cell>
          <cell r="E1068" t="str">
            <v>SA</v>
          </cell>
          <cell r="F1068" t="str">
            <v>Display</v>
          </cell>
          <cell r="G1068">
            <v>1835</v>
          </cell>
          <cell r="H1068">
            <v>409350</v>
          </cell>
          <cell r="I1068">
            <v>85372</v>
          </cell>
          <cell r="J1068">
            <v>59</v>
          </cell>
        </row>
        <row r="1069">
          <cell r="A1069" t="str">
            <v>Always_OnSASearch</v>
          </cell>
          <cell r="B1069">
            <v>45390</v>
          </cell>
          <cell r="C1069">
            <v>45390</v>
          </cell>
          <cell r="D1069" t="str">
            <v>Always_On</v>
          </cell>
          <cell r="E1069" t="str">
            <v>SA</v>
          </cell>
          <cell r="F1069" t="str">
            <v>Search</v>
          </cell>
          <cell r="G1069">
            <v>2165</v>
          </cell>
          <cell r="H1069">
            <v>25714</v>
          </cell>
          <cell r="I1069">
            <v>21535</v>
          </cell>
          <cell r="J1069">
            <v>642</v>
          </cell>
        </row>
        <row r="1070">
          <cell r="A1070" t="str">
            <v>Always_OnEGYouTube</v>
          </cell>
          <cell r="B1070">
            <v>45390</v>
          </cell>
          <cell r="C1070">
            <v>45390</v>
          </cell>
          <cell r="D1070" t="str">
            <v>Always_On</v>
          </cell>
          <cell r="E1070" t="str">
            <v>EG</v>
          </cell>
          <cell r="F1070" t="str">
            <v>YouTube</v>
          </cell>
          <cell r="G1070">
            <v>5071</v>
          </cell>
          <cell r="H1070">
            <v>391010</v>
          </cell>
          <cell r="I1070">
            <v>130531</v>
          </cell>
          <cell r="J1070">
            <v>621</v>
          </cell>
        </row>
        <row r="1071">
          <cell r="A1071" t="str">
            <v>Always_OnEGSocial</v>
          </cell>
          <cell r="B1071">
            <v>45390</v>
          </cell>
          <cell r="C1071">
            <v>45390</v>
          </cell>
          <cell r="D1071" t="str">
            <v>Always_On</v>
          </cell>
          <cell r="E1071" t="str">
            <v>EG</v>
          </cell>
          <cell r="F1071" t="str">
            <v>Social</v>
          </cell>
          <cell r="G1071">
            <v>2266</v>
          </cell>
          <cell r="H1071">
            <v>192011</v>
          </cell>
          <cell r="I1071">
            <v>67155</v>
          </cell>
          <cell r="J1071">
            <v>262</v>
          </cell>
        </row>
        <row r="1072">
          <cell r="A1072" t="str">
            <v>Always_OnEGDisplay</v>
          </cell>
          <cell r="B1072">
            <v>45390</v>
          </cell>
          <cell r="C1072">
            <v>45390</v>
          </cell>
          <cell r="D1072" t="str">
            <v>Always_On</v>
          </cell>
          <cell r="E1072" t="str">
            <v>EG</v>
          </cell>
          <cell r="F1072" t="str">
            <v>Display</v>
          </cell>
          <cell r="G1072">
            <v>2493</v>
          </cell>
          <cell r="H1072">
            <v>702187</v>
          </cell>
          <cell r="I1072">
            <v>144882</v>
          </cell>
          <cell r="J1072">
            <v>81</v>
          </cell>
        </row>
        <row r="1073">
          <cell r="A1073" t="str">
            <v>Always_OnEGSearch</v>
          </cell>
          <cell r="B1073">
            <v>45390</v>
          </cell>
          <cell r="C1073">
            <v>45390</v>
          </cell>
          <cell r="D1073" t="str">
            <v>Always_On</v>
          </cell>
          <cell r="E1073" t="str">
            <v>EG</v>
          </cell>
          <cell r="F1073" t="str">
            <v>Search</v>
          </cell>
          <cell r="G1073">
            <v>3769</v>
          </cell>
          <cell r="H1073">
            <v>43296</v>
          </cell>
          <cell r="I1073">
            <v>38918</v>
          </cell>
          <cell r="J1073">
            <v>1257</v>
          </cell>
        </row>
        <row r="1074">
          <cell r="A1074" t="str">
            <v>Always_OnUKYouTube</v>
          </cell>
          <cell r="B1074">
            <v>45397</v>
          </cell>
          <cell r="C1074">
            <v>45397</v>
          </cell>
          <cell r="D1074" t="str">
            <v>Always_On</v>
          </cell>
          <cell r="E1074" t="str">
            <v>UK</v>
          </cell>
          <cell r="F1074" t="str">
            <v>YouTube</v>
          </cell>
          <cell r="G1074">
            <v>5854</v>
          </cell>
          <cell r="H1074">
            <v>395771</v>
          </cell>
          <cell r="I1074">
            <v>192177</v>
          </cell>
          <cell r="J1074">
            <v>181</v>
          </cell>
        </row>
        <row r="1075">
          <cell r="A1075" t="str">
            <v>Always_OnUKSocial</v>
          </cell>
          <cell r="B1075">
            <v>45397</v>
          </cell>
          <cell r="C1075">
            <v>45397</v>
          </cell>
          <cell r="D1075" t="str">
            <v>Always_On</v>
          </cell>
          <cell r="E1075" t="str">
            <v>UK</v>
          </cell>
          <cell r="F1075" t="str">
            <v>Social</v>
          </cell>
          <cell r="G1075">
            <v>3468</v>
          </cell>
          <cell r="H1075">
            <v>241840</v>
          </cell>
          <cell r="I1075">
            <v>106097</v>
          </cell>
          <cell r="J1075">
            <v>109</v>
          </cell>
        </row>
        <row r="1076">
          <cell r="A1076" t="str">
            <v>Always_OnUKDisplay</v>
          </cell>
          <cell r="B1076">
            <v>45397</v>
          </cell>
          <cell r="C1076">
            <v>45397</v>
          </cell>
          <cell r="D1076" t="str">
            <v>Always_On</v>
          </cell>
          <cell r="E1076" t="str">
            <v>UK</v>
          </cell>
          <cell r="F1076" t="str">
            <v>Display</v>
          </cell>
          <cell r="G1076">
            <v>1861</v>
          </cell>
          <cell r="H1076">
            <v>440199</v>
          </cell>
          <cell r="I1076">
            <v>89893</v>
          </cell>
          <cell r="J1076">
            <v>16</v>
          </cell>
        </row>
        <row r="1077">
          <cell r="A1077" t="str">
            <v>Always_OnUKSearch</v>
          </cell>
          <cell r="B1077">
            <v>45397</v>
          </cell>
          <cell r="C1077">
            <v>45397</v>
          </cell>
          <cell r="D1077" t="str">
            <v>Always_On</v>
          </cell>
          <cell r="E1077" t="str">
            <v>UK</v>
          </cell>
          <cell r="F1077" t="str">
            <v>Search</v>
          </cell>
          <cell r="G1077">
            <v>4386</v>
          </cell>
          <cell r="H1077">
            <v>50787</v>
          </cell>
          <cell r="I1077">
            <v>45601</v>
          </cell>
          <cell r="J1077">
            <v>354</v>
          </cell>
        </row>
        <row r="1078">
          <cell r="A1078" t="str">
            <v>Always_OnDEYouTube</v>
          </cell>
          <cell r="B1078">
            <v>45397</v>
          </cell>
          <cell r="C1078">
            <v>45397</v>
          </cell>
          <cell r="D1078" t="str">
            <v>Always_On</v>
          </cell>
          <cell r="E1078" t="str">
            <v>DE</v>
          </cell>
          <cell r="F1078" t="str">
            <v>YouTube</v>
          </cell>
          <cell r="G1078">
            <v>4662</v>
          </cell>
          <cell r="H1078">
            <v>267900</v>
          </cell>
          <cell r="I1078">
            <v>98694</v>
          </cell>
          <cell r="J1078">
            <v>152</v>
          </cell>
        </row>
        <row r="1079">
          <cell r="A1079" t="str">
            <v>Always_OnDESocial</v>
          </cell>
          <cell r="B1079">
            <v>45397</v>
          </cell>
          <cell r="C1079">
            <v>45397</v>
          </cell>
          <cell r="D1079" t="str">
            <v>Always_On</v>
          </cell>
          <cell r="E1079" t="str">
            <v>DE</v>
          </cell>
          <cell r="F1079" t="str">
            <v>Social</v>
          </cell>
          <cell r="G1079">
            <v>5234</v>
          </cell>
          <cell r="H1079">
            <v>282028</v>
          </cell>
          <cell r="I1079">
            <v>95454</v>
          </cell>
          <cell r="J1079">
            <v>177</v>
          </cell>
        </row>
        <row r="1080">
          <cell r="A1080" t="str">
            <v>Always_OnDEDisplay</v>
          </cell>
          <cell r="B1080">
            <v>45397</v>
          </cell>
          <cell r="C1080">
            <v>45397</v>
          </cell>
          <cell r="D1080" t="str">
            <v>Always_On</v>
          </cell>
          <cell r="E1080" t="str">
            <v>DE</v>
          </cell>
          <cell r="F1080" t="str">
            <v>Display</v>
          </cell>
          <cell r="G1080">
            <v>3657</v>
          </cell>
          <cell r="H1080">
            <v>1092037</v>
          </cell>
          <cell r="I1080">
            <v>255108</v>
          </cell>
          <cell r="J1080">
            <v>33</v>
          </cell>
        </row>
        <row r="1081">
          <cell r="A1081" t="str">
            <v>Always_OnDESearch</v>
          </cell>
          <cell r="B1081">
            <v>45397</v>
          </cell>
          <cell r="C1081">
            <v>45397</v>
          </cell>
          <cell r="D1081" t="str">
            <v>Always_On</v>
          </cell>
          <cell r="E1081" t="str">
            <v>DE</v>
          </cell>
          <cell r="F1081" t="str">
            <v>Search</v>
          </cell>
          <cell r="G1081">
            <v>7454</v>
          </cell>
          <cell r="H1081">
            <v>80340</v>
          </cell>
          <cell r="I1081">
            <v>70362</v>
          </cell>
          <cell r="J1081">
            <v>646</v>
          </cell>
        </row>
        <row r="1082">
          <cell r="A1082" t="str">
            <v>Always_OnSAYouTube</v>
          </cell>
          <cell r="B1082">
            <v>45397</v>
          </cell>
          <cell r="C1082">
            <v>45397</v>
          </cell>
          <cell r="D1082" t="str">
            <v>Always_On</v>
          </cell>
          <cell r="E1082" t="str">
            <v>SA</v>
          </cell>
          <cell r="F1082" t="str">
            <v>YouTube</v>
          </cell>
          <cell r="G1082">
            <v>2204</v>
          </cell>
          <cell r="H1082">
            <v>139384</v>
          </cell>
          <cell r="I1082">
            <v>47086</v>
          </cell>
          <cell r="J1082">
            <v>295</v>
          </cell>
        </row>
        <row r="1083">
          <cell r="A1083" t="str">
            <v>Always_OnSASocial</v>
          </cell>
          <cell r="B1083">
            <v>45397</v>
          </cell>
          <cell r="C1083">
            <v>45397</v>
          </cell>
          <cell r="D1083" t="str">
            <v>Always_On</v>
          </cell>
          <cell r="E1083" t="str">
            <v>SA</v>
          </cell>
          <cell r="F1083" t="str">
            <v>Social</v>
          </cell>
          <cell r="G1083">
            <v>2972</v>
          </cell>
          <cell r="H1083">
            <v>204506</v>
          </cell>
          <cell r="I1083">
            <v>84478</v>
          </cell>
          <cell r="J1083">
            <v>379</v>
          </cell>
        </row>
        <row r="1084">
          <cell r="A1084" t="str">
            <v>Always_OnSADisplay</v>
          </cell>
          <cell r="B1084">
            <v>45397</v>
          </cell>
          <cell r="C1084">
            <v>45397</v>
          </cell>
          <cell r="D1084" t="str">
            <v>Always_On</v>
          </cell>
          <cell r="E1084" t="str">
            <v>SA</v>
          </cell>
          <cell r="F1084" t="str">
            <v>Display</v>
          </cell>
          <cell r="G1084">
            <v>1316</v>
          </cell>
          <cell r="H1084">
            <v>373787</v>
          </cell>
          <cell r="I1084">
            <v>63470</v>
          </cell>
          <cell r="J1084">
            <v>41</v>
          </cell>
        </row>
        <row r="1085">
          <cell r="A1085" t="str">
            <v>Always_OnSASearch</v>
          </cell>
          <cell r="B1085">
            <v>45397</v>
          </cell>
          <cell r="C1085">
            <v>45397</v>
          </cell>
          <cell r="D1085" t="str">
            <v>Always_On</v>
          </cell>
          <cell r="E1085" t="str">
            <v>SA</v>
          </cell>
          <cell r="F1085" t="str">
            <v>Search</v>
          </cell>
          <cell r="G1085">
            <v>2745</v>
          </cell>
          <cell r="H1085">
            <v>29843</v>
          </cell>
          <cell r="I1085">
            <v>26336</v>
          </cell>
          <cell r="J1085">
            <v>799</v>
          </cell>
        </row>
        <row r="1086">
          <cell r="A1086" t="str">
            <v>Always_OnEGYouTube</v>
          </cell>
          <cell r="B1086">
            <v>45397</v>
          </cell>
          <cell r="C1086">
            <v>45397</v>
          </cell>
          <cell r="D1086" t="str">
            <v>Always_On</v>
          </cell>
          <cell r="E1086" t="str">
            <v>EG</v>
          </cell>
          <cell r="F1086" t="str">
            <v>YouTube</v>
          </cell>
          <cell r="G1086">
            <v>5031</v>
          </cell>
          <cell r="H1086">
            <v>299651</v>
          </cell>
          <cell r="I1086">
            <v>118397</v>
          </cell>
          <cell r="J1086">
            <v>670</v>
          </cell>
        </row>
        <row r="1087">
          <cell r="A1087" t="str">
            <v>Always_OnEGSocial</v>
          </cell>
          <cell r="B1087">
            <v>45397</v>
          </cell>
          <cell r="C1087">
            <v>45397</v>
          </cell>
          <cell r="D1087" t="str">
            <v>Always_On</v>
          </cell>
          <cell r="E1087" t="str">
            <v>EG</v>
          </cell>
          <cell r="F1087" t="str">
            <v>Social</v>
          </cell>
          <cell r="G1087">
            <v>3026</v>
          </cell>
          <cell r="H1087">
            <v>226890</v>
          </cell>
          <cell r="I1087">
            <v>83115</v>
          </cell>
          <cell r="J1087">
            <v>402</v>
          </cell>
        </row>
        <row r="1088">
          <cell r="A1088" t="str">
            <v>Always_OnEGDisplay</v>
          </cell>
          <cell r="B1088">
            <v>45397</v>
          </cell>
          <cell r="C1088">
            <v>45397</v>
          </cell>
          <cell r="D1088" t="str">
            <v>Always_On</v>
          </cell>
          <cell r="E1088" t="str">
            <v>EG</v>
          </cell>
          <cell r="F1088" t="str">
            <v>Display</v>
          </cell>
          <cell r="G1088">
            <v>1985</v>
          </cell>
          <cell r="H1088">
            <v>462135</v>
          </cell>
          <cell r="I1088">
            <v>83469</v>
          </cell>
          <cell r="J1088">
            <v>63</v>
          </cell>
        </row>
        <row r="1089">
          <cell r="A1089" t="str">
            <v>Always_OnEGSearch</v>
          </cell>
          <cell r="B1089">
            <v>45397</v>
          </cell>
          <cell r="C1089">
            <v>45397</v>
          </cell>
          <cell r="D1089" t="str">
            <v>Always_On</v>
          </cell>
          <cell r="E1089" t="str">
            <v>EG</v>
          </cell>
          <cell r="F1089" t="str">
            <v>Search</v>
          </cell>
          <cell r="G1089">
            <v>2880</v>
          </cell>
          <cell r="H1089">
            <v>31655</v>
          </cell>
          <cell r="I1089">
            <v>28483</v>
          </cell>
          <cell r="J1089">
            <v>905</v>
          </cell>
        </row>
        <row r="1090">
          <cell r="A1090" t="str">
            <v>Always_OnUKYouTube</v>
          </cell>
          <cell r="B1090">
            <v>45404</v>
          </cell>
          <cell r="C1090">
            <v>45404</v>
          </cell>
          <cell r="D1090" t="str">
            <v>Always_On</v>
          </cell>
          <cell r="E1090" t="str">
            <v>UK</v>
          </cell>
          <cell r="F1090" t="str">
            <v>YouTube</v>
          </cell>
          <cell r="G1090">
            <v>6609</v>
          </cell>
          <cell r="H1090">
            <v>498945</v>
          </cell>
          <cell r="I1090">
            <v>224846</v>
          </cell>
          <cell r="J1090">
            <v>206</v>
          </cell>
        </row>
        <row r="1091">
          <cell r="A1091" t="str">
            <v>Always_OnUKSocial</v>
          </cell>
          <cell r="B1091">
            <v>45404</v>
          </cell>
          <cell r="C1091">
            <v>45404</v>
          </cell>
          <cell r="D1091" t="str">
            <v>Always_On</v>
          </cell>
          <cell r="E1091" t="str">
            <v>UK</v>
          </cell>
          <cell r="F1091" t="str">
            <v>Social</v>
          </cell>
          <cell r="G1091">
            <v>5832</v>
          </cell>
          <cell r="H1091">
            <v>488356</v>
          </cell>
          <cell r="I1091">
            <v>235058</v>
          </cell>
          <cell r="J1091">
            <v>189</v>
          </cell>
        </row>
        <row r="1092">
          <cell r="A1092" t="str">
            <v>Always_OnUKDisplay</v>
          </cell>
          <cell r="B1092">
            <v>45404</v>
          </cell>
          <cell r="C1092">
            <v>45404</v>
          </cell>
          <cell r="D1092" t="str">
            <v>Always_On</v>
          </cell>
          <cell r="E1092" t="str">
            <v>UK</v>
          </cell>
          <cell r="F1092" t="str">
            <v>Display</v>
          </cell>
          <cell r="G1092">
            <v>3775</v>
          </cell>
          <cell r="H1092">
            <v>1017307</v>
          </cell>
          <cell r="I1092">
            <v>208359</v>
          </cell>
          <cell r="J1092">
            <v>28</v>
          </cell>
        </row>
        <row r="1093">
          <cell r="A1093" t="str">
            <v>Always_OnUKSearch</v>
          </cell>
          <cell r="B1093">
            <v>45404</v>
          </cell>
          <cell r="C1093">
            <v>45404</v>
          </cell>
          <cell r="D1093" t="str">
            <v>Always_On</v>
          </cell>
          <cell r="E1093" t="str">
            <v>UK</v>
          </cell>
          <cell r="F1093" t="str">
            <v>Search</v>
          </cell>
          <cell r="G1093">
            <v>6806</v>
          </cell>
          <cell r="H1093">
            <v>73335</v>
          </cell>
          <cell r="I1093">
            <v>62668</v>
          </cell>
          <cell r="J1093">
            <v>521</v>
          </cell>
        </row>
        <row r="1094">
          <cell r="A1094" t="str">
            <v>Always_OnDEYouTube</v>
          </cell>
          <cell r="B1094">
            <v>45404</v>
          </cell>
          <cell r="C1094">
            <v>45404</v>
          </cell>
          <cell r="D1094" t="str">
            <v>Always_On</v>
          </cell>
          <cell r="E1094" t="str">
            <v>DE</v>
          </cell>
          <cell r="F1094" t="str">
            <v>YouTube</v>
          </cell>
          <cell r="G1094">
            <v>6823</v>
          </cell>
          <cell r="H1094">
            <v>552357</v>
          </cell>
          <cell r="I1094">
            <v>267373</v>
          </cell>
          <cell r="J1094">
            <v>222</v>
          </cell>
        </row>
        <row r="1095">
          <cell r="A1095" t="str">
            <v>Always_OnDESocial</v>
          </cell>
          <cell r="B1095">
            <v>45404</v>
          </cell>
          <cell r="C1095">
            <v>45404</v>
          </cell>
          <cell r="D1095" t="str">
            <v>Always_On</v>
          </cell>
          <cell r="E1095" t="str">
            <v>DE</v>
          </cell>
          <cell r="F1095" t="str">
            <v>Social</v>
          </cell>
          <cell r="G1095">
            <v>5313</v>
          </cell>
          <cell r="H1095">
            <v>398088</v>
          </cell>
          <cell r="I1095">
            <v>144652</v>
          </cell>
          <cell r="J1095">
            <v>192</v>
          </cell>
        </row>
        <row r="1096">
          <cell r="A1096" t="str">
            <v>Always_OnDEDisplay</v>
          </cell>
          <cell r="B1096">
            <v>45404</v>
          </cell>
          <cell r="C1096">
            <v>45404</v>
          </cell>
          <cell r="D1096" t="str">
            <v>Always_On</v>
          </cell>
          <cell r="E1096" t="str">
            <v>DE</v>
          </cell>
          <cell r="F1096" t="str">
            <v>Display</v>
          </cell>
          <cell r="G1096">
            <v>3992</v>
          </cell>
          <cell r="H1096">
            <v>869547</v>
          </cell>
          <cell r="I1096">
            <v>166884</v>
          </cell>
          <cell r="J1096">
            <v>33</v>
          </cell>
        </row>
        <row r="1097">
          <cell r="A1097" t="str">
            <v>Always_OnDESearch</v>
          </cell>
          <cell r="B1097">
            <v>45404</v>
          </cell>
          <cell r="C1097">
            <v>45404</v>
          </cell>
          <cell r="D1097" t="str">
            <v>Always_On</v>
          </cell>
          <cell r="E1097" t="str">
            <v>DE</v>
          </cell>
          <cell r="F1097" t="str">
            <v>Search</v>
          </cell>
          <cell r="G1097">
            <v>5032</v>
          </cell>
          <cell r="H1097">
            <v>60813</v>
          </cell>
          <cell r="I1097">
            <v>54286</v>
          </cell>
          <cell r="J1097">
            <v>382</v>
          </cell>
        </row>
        <row r="1098">
          <cell r="A1098" t="str">
            <v>Always_OnSAYouTube</v>
          </cell>
          <cell r="B1098">
            <v>45404</v>
          </cell>
          <cell r="C1098">
            <v>45404</v>
          </cell>
          <cell r="D1098" t="str">
            <v>Always_On</v>
          </cell>
          <cell r="E1098" t="str">
            <v>SA</v>
          </cell>
          <cell r="F1098" t="str">
            <v>YouTube</v>
          </cell>
          <cell r="G1098">
            <v>3259</v>
          </cell>
          <cell r="H1098">
            <v>195135</v>
          </cell>
          <cell r="I1098">
            <v>71641</v>
          </cell>
          <cell r="J1098">
            <v>381</v>
          </cell>
        </row>
        <row r="1099">
          <cell r="A1099" t="str">
            <v>Always_OnSASocial</v>
          </cell>
          <cell r="B1099">
            <v>45404</v>
          </cell>
          <cell r="C1099">
            <v>45404</v>
          </cell>
          <cell r="D1099" t="str">
            <v>Always_On</v>
          </cell>
          <cell r="E1099" t="str">
            <v>SA</v>
          </cell>
          <cell r="F1099" t="str">
            <v>Social</v>
          </cell>
          <cell r="G1099">
            <v>3305</v>
          </cell>
          <cell r="H1099">
            <v>205641</v>
          </cell>
          <cell r="I1099">
            <v>82894</v>
          </cell>
          <cell r="J1099">
            <v>424</v>
          </cell>
        </row>
        <row r="1100">
          <cell r="A1100" t="str">
            <v>Always_OnSADisplay</v>
          </cell>
          <cell r="B1100">
            <v>45404</v>
          </cell>
          <cell r="C1100">
            <v>45404</v>
          </cell>
          <cell r="D1100" t="str">
            <v>Always_On</v>
          </cell>
          <cell r="E1100" t="str">
            <v>SA</v>
          </cell>
          <cell r="F1100" t="str">
            <v>Display</v>
          </cell>
          <cell r="G1100">
            <v>1487</v>
          </cell>
          <cell r="H1100">
            <v>341257</v>
          </cell>
          <cell r="I1100">
            <v>60799</v>
          </cell>
          <cell r="J1100">
            <v>43</v>
          </cell>
        </row>
        <row r="1101">
          <cell r="A1101" t="str">
            <v>Always_OnSASearch</v>
          </cell>
          <cell r="B1101">
            <v>45404</v>
          </cell>
          <cell r="C1101">
            <v>45404</v>
          </cell>
          <cell r="D1101" t="str">
            <v>Always_On</v>
          </cell>
          <cell r="E1101" t="str">
            <v>SA</v>
          </cell>
          <cell r="F1101" t="str">
            <v>Search</v>
          </cell>
          <cell r="G1101">
            <v>2866</v>
          </cell>
          <cell r="H1101">
            <v>42298</v>
          </cell>
          <cell r="I1101">
            <v>38437</v>
          </cell>
          <cell r="J1101">
            <v>881</v>
          </cell>
        </row>
        <row r="1102">
          <cell r="A1102" t="str">
            <v>Always_OnEGYouTube</v>
          </cell>
          <cell r="B1102">
            <v>45404</v>
          </cell>
          <cell r="C1102">
            <v>45404</v>
          </cell>
          <cell r="D1102" t="str">
            <v>Always_On</v>
          </cell>
          <cell r="E1102" t="str">
            <v>EG</v>
          </cell>
          <cell r="F1102" t="str">
            <v>YouTube</v>
          </cell>
          <cell r="G1102">
            <v>4915</v>
          </cell>
          <cell r="H1102">
            <v>282792</v>
          </cell>
          <cell r="I1102">
            <v>125772</v>
          </cell>
          <cell r="J1102">
            <v>663</v>
          </cell>
        </row>
        <row r="1103">
          <cell r="A1103" t="str">
            <v>Always_OnEGSocial</v>
          </cell>
          <cell r="B1103">
            <v>45404</v>
          </cell>
          <cell r="C1103">
            <v>45404</v>
          </cell>
          <cell r="D1103" t="str">
            <v>Always_On</v>
          </cell>
          <cell r="E1103" t="str">
            <v>EG</v>
          </cell>
          <cell r="F1103" t="str">
            <v>Social</v>
          </cell>
          <cell r="G1103">
            <v>2128</v>
          </cell>
          <cell r="H1103">
            <v>129820</v>
          </cell>
          <cell r="I1103">
            <v>56126</v>
          </cell>
          <cell r="J1103">
            <v>251</v>
          </cell>
        </row>
        <row r="1104">
          <cell r="A1104" t="str">
            <v>Always_OnEGDisplay</v>
          </cell>
          <cell r="B1104">
            <v>45404</v>
          </cell>
          <cell r="C1104">
            <v>45404</v>
          </cell>
          <cell r="D1104" t="str">
            <v>Always_On</v>
          </cell>
          <cell r="E1104" t="str">
            <v>EG</v>
          </cell>
          <cell r="F1104" t="str">
            <v>Display</v>
          </cell>
          <cell r="G1104">
            <v>2585</v>
          </cell>
          <cell r="H1104">
            <v>611738</v>
          </cell>
          <cell r="I1104">
            <v>115027</v>
          </cell>
          <cell r="J1104">
            <v>78</v>
          </cell>
        </row>
        <row r="1105">
          <cell r="A1105" t="str">
            <v>Always_OnEGSearch</v>
          </cell>
          <cell r="B1105">
            <v>45404</v>
          </cell>
          <cell r="C1105">
            <v>45404</v>
          </cell>
          <cell r="D1105" t="str">
            <v>Always_On</v>
          </cell>
          <cell r="E1105" t="str">
            <v>EG</v>
          </cell>
          <cell r="F1105" t="str">
            <v>Search</v>
          </cell>
          <cell r="G1105">
            <v>4145</v>
          </cell>
          <cell r="H1105">
            <v>59993</v>
          </cell>
          <cell r="I1105">
            <v>51400</v>
          </cell>
          <cell r="J1105">
            <v>1261</v>
          </cell>
        </row>
        <row r="1106">
          <cell r="A1106" t="str">
            <v>Always_OnUKYouTube</v>
          </cell>
          <cell r="B1106">
            <v>45411</v>
          </cell>
          <cell r="C1106">
            <v>45411</v>
          </cell>
          <cell r="D1106" t="str">
            <v>Always_On</v>
          </cell>
          <cell r="E1106" t="str">
            <v>UK</v>
          </cell>
          <cell r="F1106" t="str">
            <v>YouTube</v>
          </cell>
          <cell r="G1106">
            <v>6352</v>
          </cell>
          <cell r="H1106">
            <v>318836</v>
          </cell>
          <cell r="I1106">
            <v>158024</v>
          </cell>
          <cell r="J1106">
            <v>194</v>
          </cell>
        </row>
        <row r="1107">
          <cell r="A1107" t="str">
            <v>Always_OnUKSocial</v>
          </cell>
          <cell r="B1107">
            <v>45411</v>
          </cell>
          <cell r="C1107">
            <v>45411</v>
          </cell>
          <cell r="D1107" t="str">
            <v>Always_On</v>
          </cell>
          <cell r="E1107" t="str">
            <v>UK</v>
          </cell>
          <cell r="F1107" t="str">
            <v>Social</v>
          </cell>
          <cell r="G1107">
            <v>6646</v>
          </cell>
          <cell r="H1107">
            <v>569292</v>
          </cell>
          <cell r="I1107">
            <v>197594</v>
          </cell>
          <cell r="J1107">
            <v>209</v>
          </cell>
        </row>
        <row r="1108">
          <cell r="A1108" t="str">
            <v>Always_OnUKDisplay</v>
          </cell>
          <cell r="B1108">
            <v>45411</v>
          </cell>
          <cell r="C1108">
            <v>45411</v>
          </cell>
          <cell r="D1108" t="str">
            <v>Always_On</v>
          </cell>
          <cell r="E1108" t="str">
            <v>UK</v>
          </cell>
          <cell r="F1108" t="str">
            <v>Display</v>
          </cell>
          <cell r="G1108">
            <v>3980</v>
          </cell>
          <cell r="H1108">
            <v>1044880</v>
          </cell>
          <cell r="I1108">
            <v>178745</v>
          </cell>
          <cell r="J1108">
            <v>35</v>
          </cell>
        </row>
        <row r="1109">
          <cell r="A1109" t="str">
            <v>Always_OnUKSearch</v>
          </cell>
          <cell r="B1109">
            <v>45411</v>
          </cell>
          <cell r="C1109">
            <v>45411</v>
          </cell>
          <cell r="D1109" t="str">
            <v>Always_On</v>
          </cell>
          <cell r="E1109" t="str">
            <v>UK</v>
          </cell>
          <cell r="F1109" t="str">
            <v>Search</v>
          </cell>
          <cell r="G1109">
            <v>4662</v>
          </cell>
          <cell r="H1109">
            <v>61345</v>
          </cell>
          <cell r="I1109">
            <v>53359</v>
          </cell>
          <cell r="J1109">
            <v>380</v>
          </cell>
        </row>
        <row r="1110">
          <cell r="A1110" t="str">
            <v>Always_OnDEYouTube</v>
          </cell>
          <cell r="B1110">
            <v>45411</v>
          </cell>
          <cell r="C1110">
            <v>45411</v>
          </cell>
          <cell r="D1110" t="str">
            <v>Always_On</v>
          </cell>
          <cell r="E1110" t="str">
            <v>DE</v>
          </cell>
          <cell r="F1110" t="str">
            <v>YouTube</v>
          </cell>
          <cell r="G1110">
            <v>5802</v>
          </cell>
          <cell r="H1110">
            <v>449259</v>
          </cell>
          <cell r="I1110">
            <v>223247</v>
          </cell>
          <cell r="J1110">
            <v>200</v>
          </cell>
        </row>
        <row r="1111">
          <cell r="A1111" t="str">
            <v>Always_OnDESocial</v>
          </cell>
          <cell r="B1111">
            <v>45411</v>
          </cell>
          <cell r="C1111">
            <v>45411</v>
          </cell>
          <cell r="D1111" t="str">
            <v>Always_On</v>
          </cell>
          <cell r="E1111" t="str">
            <v>DE</v>
          </cell>
          <cell r="F1111" t="str">
            <v>Social</v>
          </cell>
          <cell r="G1111">
            <v>3135</v>
          </cell>
          <cell r="H1111">
            <v>209690</v>
          </cell>
          <cell r="I1111">
            <v>96198</v>
          </cell>
          <cell r="J1111">
            <v>99</v>
          </cell>
        </row>
        <row r="1112">
          <cell r="A1112" t="str">
            <v>Always_OnDEDisplay</v>
          </cell>
          <cell r="B1112">
            <v>45411</v>
          </cell>
          <cell r="C1112">
            <v>45411</v>
          </cell>
          <cell r="D1112" t="str">
            <v>Always_On</v>
          </cell>
          <cell r="E1112" t="str">
            <v>DE</v>
          </cell>
          <cell r="F1112" t="str">
            <v>Display</v>
          </cell>
          <cell r="G1112">
            <v>3868</v>
          </cell>
          <cell r="H1112">
            <v>924539</v>
          </cell>
          <cell r="I1112">
            <v>172873</v>
          </cell>
          <cell r="J1112">
            <v>32</v>
          </cell>
        </row>
        <row r="1113">
          <cell r="A1113" t="str">
            <v>Always_OnDESearch</v>
          </cell>
          <cell r="B1113">
            <v>45411</v>
          </cell>
          <cell r="C1113">
            <v>45411</v>
          </cell>
          <cell r="D1113" t="str">
            <v>Always_On</v>
          </cell>
          <cell r="E1113" t="str">
            <v>DE</v>
          </cell>
          <cell r="F1113" t="str">
            <v>Search</v>
          </cell>
          <cell r="G1113">
            <v>5495</v>
          </cell>
          <cell r="H1113">
            <v>80653</v>
          </cell>
          <cell r="I1113">
            <v>69877</v>
          </cell>
          <cell r="J1113">
            <v>462</v>
          </cell>
        </row>
        <row r="1114">
          <cell r="A1114" t="str">
            <v>Always_OnSAYouTube</v>
          </cell>
          <cell r="B1114">
            <v>45411</v>
          </cell>
          <cell r="C1114">
            <v>45411</v>
          </cell>
          <cell r="D1114" t="str">
            <v>Always_On</v>
          </cell>
          <cell r="E1114" t="str">
            <v>SA</v>
          </cell>
          <cell r="F1114" t="str">
            <v>YouTube</v>
          </cell>
          <cell r="G1114">
            <v>3854</v>
          </cell>
          <cell r="H1114">
            <v>225022</v>
          </cell>
          <cell r="I1114">
            <v>80929</v>
          </cell>
          <cell r="J1114">
            <v>459</v>
          </cell>
        </row>
        <row r="1115">
          <cell r="A1115" t="str">
            <v>Always_OnSASocial</v>
          </cell>
          <cell r="B1115">
            <v>45411</v>
          </cell>
          <cell r="C1115">
            <v>45411</v>
          </cell>
          <cell r="D1115" t="str">
            <v>Always_On</v>
          </cell>
          <cell r="E1115" t="str">
            <v>SA</v>
          </cell>
          <cell r="F1115" t="str">
            <v>Social</v>
          </cell>
          <cell r="G1115">
            <v>3074</v>
          </cell>
          <cell r="H1115">
            <v>189777</v>
          </cell>
          <cell r="I1115">
            <v>74256</v>
          </cell>
          <cell r="J1115">
            <v>397</v>
          </cell>
        </row>
        <row r="1116">
          <cell r="A1116" t="str">
            <v>Always_OnSADisplay</v>
          </cell>
          <cell r="B1116">
            <v>45411</v>
          </cell>
          <cell r="C1116">
            <v>45411</v>
          </cell>
          <cell r="D1116" t="str">
            <v>Always_On</v>
          </cell>
          <cell r="E1116" t="str">
            <v>SA</v>
          </cell>
          <cell r="F1116" t="str">
            <v>Display</v>
          </cell>
          <cell r="G1116">
            <v>1843</v>
          </cell>
          <cell r="H1116">
            <v>455086</v>
          </cell>
          <cell r="I1116">
            <v>86066</v>
          </cell>
          <cell r="J1116">
            <v>55</v>
          </cell>
        </row>
        <row r="1117">
          <cell r="A1117" t="str">
            <v>Always_OnSASearch</v>
          </cell>
          <cell r="B1117">
            <v>45411</v>
          </cell>
          <cell r="C1117">
            <v>45411</v>
          </cell>
          <cell r="D1117" t="str">
            <v>Always_On</v>
          </cell>
          <cell r="E1117" t="str">
            <v>SA</v>
          </cell>
          <cell r="F1117" t="str">
            <v>Search</v>
          </cell>
          <cell r="G1117">
            <v>3682</v>
          </cell>
          <cell r="H1117">
            <v>54168</v>
          </cell>
          <cell r="I1117">
            <v>48523</v>
          </cell>
          <cell r="J1117">
            <v>1167</v>
          </cell>
        </row>
        <row r="1118">
          <cell r="A1118" t="str">
            <v>Always_OnEGYouTube</v>
          </cell>
          <cell r="B1118">
            <v>45411</v>
          </cell>
          <cell r="C1118">
            <v>45411</v>
          </cell>
          <cell r="D1118" t="str">
            <v>Always_On</v>
          </cell>
          <cell r="E1118" t="str">
            <v>EG</v>
          </cell>
          <cell r="F1118" t="str">
            <v>YouTube</v>
          </cell>
          <cell r="G1118">
            <v>2118</v>
          </cell>
          <cell r="H1118">
            <v>137500</v>
          </cell>
          <cell r="I1118">
            <v>49379</v>
          </cell>
          <cell r="J1118">
            <v>286</v>
          </cell>
        </row>
        <row r="1119">
          <cell r="A1119" t="str">
            <v>Always_OnEGSocial</v>
          </cell>
          <cell r="B1119">
            <v>45411</v>
          </cell>
          <cell r="C1119">
            <v>45411</v>
          </cell>
          <cell r="D1119" t="str">
            <v>Always_On</v>
          </cell>
          <cell r="E1119" t="str">
            <v>EG</v>
          </cell>
          <cell r="F1119" t="str">
            <v>Social</v>
          </cell>
          <cell r="G1119">
            <v>4164</v>
          </cell>
          <cell r="H1119">
            <v>305525</v>
          </cell>
          <cell r="I1119">
            <v>151530</v>
          </cell>
          <cell r="J1119">
            <v>484</v>
          </cell>
        </row>
        <row r="1120">
          <cell r="A1120" t="str">
            <v>Always_OnEGDisplay</v>
          </cell>
          <cell r="B1120">
            <v>45411</v>
          </cell>
          <cell r="C1120">
            <v>45411</v>
          </cell>
          <cell r="D1120" t="str">
            <v>Always_On</v>
          </cell>
          <cell r="E1120" t="str">
            <v>EG</v>
          </cell>
          <cell r="F1120" t="str">
            <v>Display</v>
          </cell>
          <cell r="G1120">
            <v>3081</v>
          </cell>
          <cell r="H1120">
            <v>703875</v>
          </cell>
          <cell r="I1120">
            <v>138743</v>
          </cell>
          <cell r="J1120">
            <v>87</v>
          </cell>
        </row>
        <row r="1121">
          <cell r="A1121" t="str">
            <v>Always_OnEGSearch</v>
          </cell>
          <cell r="B1121">
            <v>45411</v>
          </cell>
          <cell r="C1121">
            <v>45411</v>
          </cell>
          <cell r="D1121" t="str">
            <v>Always_On</v>
          </cell>
          <cell r="E1121" t="str">
            <v>EG</v>
          </cell>
          <cell r="F1121" t="str">
            <v>Search</v>
          </cell>
          <cell r="G1121">
            <v>4120</v>
          </cell>
          <cell r="H1121">
            <v>49099</v>
          </cell>
          <cell r="I1121">
            <v>43639</v>
          </cell>
          <cell r="J1121">
            <v>1229</v>
          </cell>
        </row>
        <row r="1122">
          <cell r="A1122" t="str">
            <v>Always_OnUKYouTube</v>
          </cell>
          <cell r="B1122">
            <v>45418</v>
          </cell>
          <cell r="C1122">
            <v>45418</v>
          </cell>
          <cell r="D1122" t="str">
            <v>Always_On</v>
          </cell>
          <cell r="E1122" t="str">
            <v>UK</v>
          </cell>
          <cell r="F1122" t="str">
            <v>YouTube</v>
          </cell>
          <cell r="G1122">
            <v>4335</v>
          </cell>
          <cell r="H1122">
            <v>242469</v>
          </cell>
          <cell r="I1122">
            <v>85237</v>
          </cell>
          <cell r="J1122">
            <v>157</v>
          </cell>
        </row>
        <row r="1123">
          <cell r="A1123" t="str">
            <v>Always_OnUKSocial</v>
          </cell>
          <cell r="B1123">
            <v>45418</v>
          </cell>
          <cell r="C1123">
            <v>45418</v>
          </cell>
          <cell r="D1123" t="str">
            <v>Always_On</v>
          </cell>
          <cell r="E1123" t="str">
            <v>UK</v>
          </cell>
          <cell r="F1123" t="str">
            <v>Social</v>
          </cell>
          <cell r="G1123">
            <v>4846</v>
          </cell>
          <cell r="H1123">
            <v>398387</v>
          </cell>
          <cell r="I1123">
            <v>149251</v>
          </cell>
          <cell r="J1123">
            <v>160</v>
          </cell>
        </row>
        <row r="1124">
          <cell r="A1124" t="str">
            <v>Always_OnUKDisplay</v>
          </cell>
          <cell r="B1124">
            <v>45418</v>
          </cell>
          <cell r="C1124">
            <v>45418</v>
          </cell>
          <cell r="D1124" t="str">
            <v>Always_On</v>
          </cell>
          <cell r="E1124" t="str">
            <v>UK</v>
          </cell>
          <cell r="F1124" t="str">
            <v>Display</v>
          </cell>
          <cell r="G1124">
            <v>4114</v>
          </cell>
          <cell r="H1124">
            <v>1214274</v>
          </cell>
          <cell r="I1124">
            <v>267557</v>
          </cell>
          <cell r="J1124">
            <v>31</v>
          </cell>
        </row>
        <row r="1125">
          <cell r="A1125" t="str">
            <v>Always_OnUKSearch</v>
          </cell>
          <cell r="B1125">
            <v>45418</v>
          </cell>
          <cell r="C1125">
            <v>45418</v>
          </cell>
          <cell r="D1125" t="str">
            <v>Always_On</v>
          </cell>
          <cell r="E1125" t="str">
            <v>UK</v>
          </cell>
          <cell r="F1125" t="str">
            <v>Search</v>
          </cell>
          <cell r="G1125">
            <v>3665</v>
          </cell>
          <cell r="H1125">
            <v>45873</v>
          </cell>
          <cell r="I1125">
            <v>38882</v>
          </cell>
          <cell r="J1125">
            <v>313</v>
          </cell>
        </row>
        <row r="1126">
          <cell r="A1126" t="str">
            <v>Always_OnDEYouTube</v>
          </cell>
          <cell r="B1126">
            <v>45418</v>
          </cell>
          <cell r="C1126">
            <v>45418</v>
          </cell>
          <cell r="D1126" t="str">
            <v>Always_On</v>
          </cell>
          <cell r="E1126" t="str">
            <v>DE</v>
          </cell>
          <cell r="F1126" t="str">
            <v>YouTube</v>
          </cell>
          <cell r="G1126">
            <v>6811</v>
          </cell>
          <cell r="H1126">
            <v>494575</v>
          </cell>
          <cell r="I1126">
            <v>226198</v>
          </cell>
          <cell r="J1126">
            <v>226</v>
          </cell>
        </row>
        <row r="1127">
          <cell r="A1127" t="str">
            <v>Always_OnDESocial</v>
          </cell>
          <cell r="B1127">
            <v>45418</v>
          </cell>
          <cell r="C1127">
            <v>45418</v>
          </cell>
          <cell r="D1127" t="str">
            <v>Always_On</v>
          </cell>
          <cell r="E1127" t="str">
            <v>DE</v>
          </cell>
          <cell r="F1127" t="str">
            <v>Social</v>
          </cell>
          <cell r="G1127">
            <v>3334</v>
          </cell>
          <cell r="H1127">
            <v>230326</v>
          </cell>
          <cell r="I1127">
            <v>106959</v>
          </cell>
          <cell r="J1127">
            <v>108</v>
          </cell>
        </row>
        <row r="1128">
          <cell r="A1128" t="str">
            <v>Always_OnDEDisplay</v>
          </cell>
          <cell r="B1128">
            <v>45418</v>
          </cell>
          <cell r="C1128">
            <v>45418</v>
          </cell>
          <cell r="D1128" t="str">
            <v>Always_On</v>
          </cell>
          <cell r="E1128" t="str">
            <v>DE</v>
          </cell>
          <cell r="F1128" t="str">
            <v>Display</v>
          </cell>
          <cell r="G1128">
            <v>3894</v>
          </cell>
          <cell r="H1128">
            <v>946960</v>
          </cell>
          <cell r="I1128">
            <v>199491</v>
          </cell>
          <cell r="J1128">
            <v>29</v>
          </cell>
        </row>
        <row r="1129">
          <cell r="A1129" t="str">
            <v>Always_OnDESearch</v>
          </cell>
          <cell r="B1129">
            <v>45418</v>
          </cell>
          <cell r="C1129">
            <v>45418</v>
          </cell>
          <cell r="D1129" t="str">
            <v>Always_On</v>
          </cell>
          <cell r="E1129" t="str">
            <v>DE</v>
          </cell>
          <cell r="F1129" t="str">
            <v>Search</v>
          </cell>
          <cell r="G1129">
            <v>6359</v>
          </cell>
          <cell r="H1129">
            <v>79457</v>
          </cell>
          <cell r="I1129">
            <v>71019</v>
          </cell>
          <cell r="J1129">
            <v>490</v>
          </cell>
        </row>
        <row r="1130">
          <cell r="A1130" t="str">
            <v>Always_OnSAYouTube</v>
          </cell>
          <cell r="B1130">
            <v>45418</v>
          </cell>
          <cell r="C1130">
            <v>45418</v>
          </cell>
          <cell r="D1130" t="str">
            <v>Always_On</v>
          </cell>
          <cell r="E1130" t="str">
            <v>SA</v>
          </cell>
          <cell r="F1130" t="str">
            <v>YouTube</v>
          </cell>
          <cell r="G1130">
            <v>4652</v>
          </cell>
          <cell r="H1130">
            <v>395773</v>
          </cell>
          <cell r="I1130">
            <v>182674</v>
          </cell>
          <cell r="J1130">
            <v>559</v>
          </cell>
        </row>
        <row r="1131">
          <cell r="A1131" t="str">
            <v>Always_OnSASocial</v>
          </cell>
          <cell r="B1131">
            <v>45418</v>
          </cell>
          <cell r="C1131">
            <v>45418</v>
          </cell>
          <cell r="D1131" t="str">
            <v>Always_On</v>
          </cell>
          <cell r="E1131" t="str">
            <v>SA</v>
          </cell>
          <cell r="F1131" t="str">
            <v>Social</v>
          </cell>
          <cell r="G1131">
            <v>2594</v>
          </cell>
          <cell r="H1131">
            <v>176020</v>
          </cell>
          <cell r="I1131">
            <v>71681</v>
          </cell>
          <cell r="J1131">
            <v>329</v>
          </cell>
        </row>
        <row r="1132">
          <cell r="A1132" t="str">
            <v>Always_OnSADisplay</v>
          </cell>
          <cell r="B1132">
            <v>45418</v>
          </cell>
          <cell r="C1132">
            <v>45418</v>
          </cell>
          <cell r="D1132" t="str">
            <v>Always_On</v>
          </cell>
          <cell r="E1132" t="str">
            <v>SA</v>
          </cell>
          <cell r="F1132" t="str">
            <v>Display</v>
          </cell>
          <cell r="G1132">
            <v>2882</v>
          </cell>
          <cell r="H1132">
            <v>644617</v>
          </cell>
          <cell r="I1132">
            <v>114481</v>
          </cell>
          <cell r="J1132">
            <v>85</v>
          </cell>
        </row>
        <row r="1133">
          <cell r="A1133" t="str">
            <v>Always_OnSASearch</v>
          </cell>
          <cell r="B1133">
            <v>45418</v>
          </cell>
          <cell r="C1133">
            <v>45418</v>
          </cell>
          <cell r="D1133" t="str">
            <v>Always_On</v>
          </cell>
          <cell r="E1133" t="str">
            <v>SA</v>
          </cell>
          <cell r="F1133" t="str">
            <v>Search</v>
          </cell>
          <cell r="G1133">
            <v>5123</v>
          </cell>
          <cell r="H1133">
            <v>61935</v>
          </cell>
          <cell r="I1133">
            <v>55481</v>
          </cell>
          <cell r="J1133">
            <v>1520</v>
          </cell>
        </row>
        <row r="1134">
          <cell r="A1134" t="str">
            <v>Always_OnEGYouTube</v>
          </cell>
          <cell r="B1134">
            <v>45418</v>
          </cell>
          <cell r="C1134">
            <v>45418</v>
          </cell>
          <cell r="D1134" t="str">
            <v>Always_On</v>
          </cell>
          <cell r="E1134" t="str">
            <v>EG</v>
          </cell>
          <cell r="F1134" t="str">
            <v>YouTube</v>
          </cell>
          <cell r="G1134">
            <v>3489</v>
          </cell>
          <cell r="H1134">
            <v>194518</v>
          </cell>
          <cell r="I1134">
            <v>80453</v>
          </cell>
          <cell r="J1134">
            <v>428</v>
          </cell>
        </row>
        <row r="1135">
          <cell r="A1135" t="str">
            <v>Always_OnEGSocial</v>
          </cell>
          <cell r="B1135">
            <v>45418</v>
          </cell>
          <cell r="C1135">
            <v>45418</v>
          </cell>
          <cell r="D1135" t="str">
            <v>Always_On</v>
          </cell>
          <cell r="E1135" t="str">
            <v>EG</v>
          </cell>
          <cell r="F1135" t="str">
            <v>Social</v>
          </cell>
          <cell r="G1135">
            <v>1908</v>
          </cell>
          <cell r="H1135">
            <v>105762</v>
          </cell>
          <cell r="I1135">
            <v>52284</v>
          </cell>
          <cell r="J1135">
            <v>228</v>
          </cell>
        </row>
        <row r="1136">
          <cell r="A1136" t="str">
            <v>Always_OnEGDisplay</v>
          </cell>
          <cell r="B1136">
            <v>45418</v>
          </cell>
          <cell r="C1136">
            <v>45418</v>
          </cell>
          <cell r="D1136" t="str">
            <v>Always_On</v>
          </cell>
          <cell r="E1136" t="str">
            <v>EG</v>
          </cell>
          <cell r="F1136" t="str">
            <v>Display</v>
          </cell>
          <cell r="G1136">
            <v>1373</v>
          </cell>
          <cell r="H1136">
            <v>355553</v>
          </cell>
          <cell r="I1136">
            <v>71895</v>
          </cell>
          <cell r="J1136">
            <v>40</v>
          </cell>
        </row>
        <row r="1137">
          <cell r="A1137" t="str">
            <v>Always_OnEGSearch</v>
          </cell>
          <cell r="B1137">
            <v>45418</v>
          </cell>
          <cell r="C1137">
            <v>45418</v>
          </cell>
          <cell r="D1137" t="str">
            <v>Always_On</v>
          </cell>
          <cell r="E1137" t="str">
            <v>EG</v>
          </cell>
          <cell r="F1137" t="str">
            <v>Search</v>
          </cell>
          <cell r="G1137">
            <v>3511</v>
          </cell>
          <cell r="H1137">
            <v>45056</v>
          </cell>
          <cell r="I1137">
            <v>39032</v>
          </cell>
          <cell r="J1137">
            <v>1026</v>
          </cell>
        </row>
        <row r="1138">
          <cell r="A1138" t="str">
            <v>Always_OnUKYouTube</v>
          </cell>
          <cell r="B1138">
            <v>45425</v>
          </cell>
          <cell r="C1138">
            <v>45425</v>
          </cell>
          <cell r="D1138" t="str">
            <v>Always_On</v>
          </cell>
          <cell r="E1138" t="str">
            <v>UK</v>
          </cell>
          <cell r="F1138" t="str">
            <v>YouTube</v>
          </cell>
          <cell r="G1138">
            <v>3082</v>
          </cell>
          <cell r="H1138">
            <v>211247</v>
          </cell>
          <cell r="I1138">
            <v>84831</v>
          </cell>
          <cell r="J1138">
            <v>113</v>
          </cell>
        </row>
        <row r="1139">
          <cell r="A1139" t="str">
            <v>Always_OnUKSocial</v>
          </cell>
          <cell r="B1139">
            <v>45425</v>
          </cell>
          <cell r="C1139">
            <v>45425</v>
          </cell>
          <cell r="D1139" t="str">
            <v>Always_On</v>
          </cell>
          <cell r="E1139" t="str">
            <v>UK</v>
          </cell>
          <cell r="F1139" t="str">
            <v>Social</v>
          </cell>
          <cell r="G1139">
            <v>5309</v>
          </cell>
          <cell r="H1139">
            <v>430400</v>
          </cell>
          <cell r="I1139">
            <v>176016</v>
          </cell>
          <cell r="J1139">
            <v>180</v>
          </cell>
        </row>
        <row r="1140">
          <cell r="A1140" t="str">
            <v>Always_OnUKDisplay</v>
          </cell>
          <cell r="B1140">
            <v>45425</v>
          </cell>
          <cell r="C1140">
            <v>45425</v>
          </cell>
          <cell r="D1140" t="str">
            <v>Always_On</v>
          </cell>
          <cell r="E1140" t="str">
            <v>UK</v>
          </cell>
          <cell r="F1140" t="str">
            <v>Display</v>
          </cell>
          <cell r="G1140">
            <v>2104</v>
          </cell>
          <cell r="H1140">
            <v>435744</v>
          </cell>
          <cell r="I1140">
            <v>76608</v>
          </cell>
          <cell r="J1140">
            <v>16</v>
          </cell>
        </row>
        <row r="1141">
          <cell r="A1141" t="str">
            <v>Always_OnUKSearch</v>
          </cell>
          <cell r="B1141">
            <v>45425</v>
          </cell>
          <cell r="C1141">
            <v>45425</v>
          </cell>
          <cell r="D1141" t="str">
            <v>Always_On</v>
          </cell>
          <cell r="E1141" t="str">
            <v>UK</v>
          </cell>
          <cell r="F1141" t="str">
            <v>Search</v>
          </cell>
          <cell r="G1141">
            <v>6611</v>
          </cell>
          <cell r="H1141">
            <v>80599</v>
          </cell>
          <cell r="I1141">
            <v>70194</v>
          </cell>
          <cell r="J1141">
            <v>535</v>
          </cell>
        </row>
        <row r="1142">
          <cell r="A1142" t="str">
            <v>Always_OnDEYouTube</v>
          </cell>
          <cell r="B1142">
            <v>45425</v>
          </cell>
          <cell r="C1142">
            <v>45425</v>
          </cell>
          <cell r="D1142" t="str">
            <v>Always_On</v>
          </cell>
          <cell r="E1142" t="str">
            <v>DE</v>
          </cell>
          <cell r="F1142" t="str">
            <v>YouTube</v>
          </cell>
          <cell r="G1142">
            <v>4243</v>
          </cell>
          <cell r="H1142">
            <v>292381</v>
          </cell>
          <cell r="I1142">
            <v>112225</v>
          </cell>
          <cell r="J1142">
            <v>152</v>
          </cell>
        </row>
        <row r="1143">
          <cell r="A1143" t="str">
            <v>Always_OnDESocial</v>
          </cell>
          <cell r="B1143">
            <v>45425</v>
          </cell>
          <cell r="C1143">
            <v>45425</v>
          </cell>
          <cell r="D1143" t="str">
            <v>Always_On</v>
          </cell>
          <cell r="E1143" t="str">
            <v>DE</v>
          </cell>
          <cell r="F1143" t="str">
            <v>Social</v>
          </cell>
          <cell r="G1143">
            <v>3345</v>
          </cell>
          <cell r="H1143">
            <v>199804</v>
          </cell>
          <cell r="I1143">
            <v>67439</v>
          </cell>
          <cell r="J1143">
            <v>120</v>
          </cell>
        </row>
        <row r="1144">
          <cell r="A1144" t="str">
            <v>Always_OnDEDisplay</v>
          </cell>
          <cell r="B1144">
            <v>45425</v>
          </cell>
          <cell r="C1144">
            <v>45425</v>
          </cell>
          <cell r="D1144" t="str">
            <v>Always_On</v>
          </cell>
          <cell r="E1144" t="str">
            <v>DE</v>
          </cell>
          <cell r="F1144" t="str">
            <v>Display</v>
          </cell>
          <cell r="G1144">
            <v>4279</v>
          </cell>
          <cell r="H1144">
            <v>1098295</v>
          </cell>
          <cell r="I1144">
            <v>262885</v>
          </cell>
          <cell r="J1144">
            <v>38</v>
          </cell>
        </row>
        <row r="1145">
          <cell r="A1145" t="str">
            <v>Always_OnDESearch</v>
          </cell>
          <cell r="B1145">
            <v>45425</v>
          </cell>
          <cell r="C1145">
            <v>45425</v>
          </cell>
          <cell r="D1145" t="str">
            <v>Always_On</v>
          </cell>
          <cell r="E1145" t="str">
            <v>DE</v>
          </cell>
          <cell r="F1145" t="str">
            <v>Search</v>
          </cell>
          <cell r="G1145">
            <v>5042</v>
          </cell>
          <cell r="H1145">
            <v>63204</v>
          </cell>
          <cell r="I1145">
            <v>54526</v>
          </cell>
          <cell r="J1145">
            <v>415</v>
          </cell>
        </row>
        <row r="1146">
          <cell r="A1146" t="str">
            <v>Always_OnSAYouTube</v>
          </cell>
          <cell r="B1146">
            <v>45425</v>
          </cell>
          <cell r="C1146">
            <v>45425</v>
          </cell>
          <cell r="D1146" t="str">
            <v>Always_On</v>
          </cell>
          <cell r="E1146" t="str">
            <v>SA</v>
          </cell>
          <cell r="F1146" t="str">
            <v>YouTube</v>
          </cell>
          <cell r="G1146">
            <v>3117</v>
          </cell>
          <cell r="H1146">
            <v>200761</v>
          </cell>
          <cell r="I1146">
            <v>66932</v>
          </cell>
          <cell r="J1146">
            <v>366</v>
          </cell>
        </row>
        <row r="1147">
          <cell r="A1147" t="str">
            <v>Always_OnSASocial</v>
          </cell>
          <cell r="B1147">
            <v>45425</v>
          </cell>
          <cell r="C1147">
            <v>45425</v>
          </cell>
          <cell r="D1147" t="str">
            <v>Always_On</v>
          </cell>
          <cell r="E1147" t="str">
            <v>SA</v>
          </cell>
          <cell r="F1147" t="str">
            <v>Social</v>
          </cell>
          <cell r="G1147">
            <v>3929</v>
          </cell>
          <cell r="H1147">
            <v>303209</v>
          </cell>
          <cell r="I1147">
            <v>132475</v>
          </cell>
          <cell r="J1147">
            <v>495</v>
          </cell>
        </row>
        <row r="1148">
          <cell r="A1148" t="str">
            <v>Always_OnSADisplay</v>
          </cell>
          <cell r="B1148">
            <v>45425</v>
          </cell>
          <cell r="C1148">
            <v>45425</v>
          </cell>
          <cell r="D1148" t="str">
            <v>Always_On</v>
          </cell>
          <cell r="E1148" t="str">
            <v>SA</v>
          </cell>
          <cell r="F1148" t="str">
            <v>Display</v>
          </cell>
          <cell r="G1148">
            <v>3207</v>
          </cell>
          <cell r="H1148">
            <v>742157</v>
          </cell>
          <cell r="I1148">
            <v>184010</v>
          </cell>
          <cell r="J1148">
            <v>97</v>
          </cell>
        </row>
        <row r="1149">
          <cell r="A1149" t="str">
            <v>Always_OnSASearch</v>
          </cell>
          <cell r="B1149">
            <v>45425</v>
          </cell>
          <cell r="C1149">
            <v>45425</v>
          </cell>
          <cell r="D1149" t="str">
            <v>Always_On</v>
          </cell>
          <cell r="E1149" t="str">
            <v>SA</v>
          </cell>
          <cell r="F1149" t="str">
            <v>Search</v>
          </cell>
          <cell r="G1149">
            <v>3355</v>
          </cell>
          <cell r="H1149">
            <v>44466</v>
          </cell>
          <cell r="I1149">
            <v>39687</v>
          </cell>
          <cell r="J1149">
            <v>1031</v>
          </cell>
        </row>
        <row r="1150">
          <cell r="A1150" t="str">
            <v>Always_OnEGYouTube</v>
          </cell>
          <cell r="B1150">
            <v>45425</v>
          </cell>
          <cell r="C1150">
            <v>45425</v>
          </cell>
          <cell r="D1150" t="str">
            <v>Always_On</v>
          </cell>
          <cell r="E1150" t="str">
            <v>EG</v>
          </cell>
          <cell r="F1150" t="str">
            <v>YouTube</v>
          </cell>
          <cell r="G1150">
            <v>2670</v>
          </cell>
          <cell r="H1150">
            <v>166765</v>
          </cell>
          <cell r="I1150">
            <v>66425</v>
          </cell>
          <cell r="J1150">
            <v>315</v>
          </cell>
        </row>
        <row r="1151">
          <cell r="A1151" t="str">
            <v>Always_OnEGSocial</v>
          </cell>
          <cell r="B1151">
            <v>45425</v>
          </cell>
          <cell r="C1151">
            <v>45425</v>
          </cell>
          <cell r="D1151" t="str">
            <v>Always_On</v>
          </cell>
          <cell r="E1151" t="str">
            <v>EG</v>
          </cell>
          <cell r="F1151" t="str">
            <v>Social</v>
          </cell>
          <cell r="G1151">
            <v>3067</v>
          </cell>
          <cell r="H1151">
            <v>177895</v>
          </cell>
          <cell r="I1151">
            <v>66005</v>
          </cell>
          <cell r="J1151">
            <v>371</v>
          </cell>
        </row>
        <row r="1152">
          <cell r="A1152" t="str">
            <v>Always_OnEGDisplay</v>
          </cell>
          <cell r="B1152">
            <v>45425</v>
          </cell>
          <cell r="C1152">
            <v>45425</v>
          </cell>
          <cell r="D1152" t="str">
            <v>Always_On</v>
          </cell>
          <cell r="E1152" t="str">
            <v>EG</v>
          </cell>
          <cell r="F1152" t="str">
            <v>Display</v>
          </cell>
          <cell r="G1152">
            <v>2893</v>
          </cell>
          <cell r="H1152">
            <v>611378</v>
          </cell>
          <cell r="I1152">
            <v>116327</v>
          </cell>
          <cell r="J1152">
            <v>89</v>
          </cell>
        </row>
        <row r="1153">
          <cell r="A1153" t="str">
            <v>Always_OnEGSearch</v>
          </cell>
          <cell r="B1153">
            <v>45425</v>
          </cell>
          <cell r="C1153">
            <v>45425</v>
          </cell>
          <cell r="D1153" t="str">
            <v>Always_On</v>
          </cell>
          <cell r="E1153" t="str">
            <v>EG</v>
          </cell>
          <cell r="F1153" t="str">
            <v>Search</v>
          </cell>
          <cell r="G1153">
            <v>3722</v>
          </cell>
          <cell r="H1153">
            <v>51567</v>
          </cell>
          <cell r="I1153">
            <v>45790</v>
          </cell>
          <cell r="J1153">
            <v>1086</v>
          </cell>
        </row>
        <row r="1154">
          <cell r="A1154" t="str">
            <v>Always_OnUKYouTube</v>
          </cell>
          <cell r="B1154">
            <v>45432</v>
          </cell>
          <cell r="C1154">
            <v>45432</v>
          </cell>
          <cell r="D1154" t="str">
            <v>Always_On</v>
          </cell>
          <cell r="E1154" t="str">
            <v>UK</v>
          </cell>
          <cell r="F1154" t="str">
            <v>YouTube</v>
          </cell>
          <cell r="G1154">
            <v>6620</v>
          </cell>
          <cell r="H1154">
            <v>554792</v>
          </cell>
          <cell r="I1154">
            <v>185085</v>
          </cell>
          <cell r="J1154">
            <v>245</v>
          </cell>
        </row>
        <row r="1155">
          <cell r="A1155" t="str">
            <v>Always_OnUKSocial</v>
          </cell>
          <cell r="B1155">
            <v>45432</v>
          </cell>
          <cell r="C1155">
            <v>45432</v>
          </cell>
          <cell r="D1155" t="str">
            <v>Always_On</v>
          </cell>
          <cell r="E1155" t="str">
            <v>UK</v>
          </cell>
          <cell r="F1155" t="str">
            <v>Social</v>
          </cell>
          <cell r="G1155">
            <v>5688</v>
          </cell>
          <cell r="H1155">
            <v>446013</v>
          </cell>
          <cell r="I1155">
            <v>164338</v>
          </cell>
          <cell r="J1155">
            <v>191</v>
          </cell>
        </row>
        <row r="1156">
          <cell r="A1156" t="str">
            <v>Always_OnUKDisplay</v>
          </cell>
          <cell r="B1156">
            <v>45432</v>
          </cell>
          <cell r="C1156">
            <v>45432</v>
          </cell>
          <cell r="D1156" t="str">
            <v>Always_On</v>
          </cell>
          <cell r="E1156" t="str">
            <v>UK</v>
          </cell>
          <cell r="F1156" t="str">
            <v>Display</v>
          </cell>
          <cell r="G1156">
            <v>4056</v>
          </cell>
          <cell r="H1156">
            <v>1039066</v>
          </cell>
          <cell r="I1156">
            <v>216760</v>
          </cell>
          <cell r="J1156">
            <v>35</v>
          </cell>
        </row>
        <row r="1157">
          <cell r="A1157" t="str">
            <v>Always_OnUKSearch</v>
          </cell>
          <cell r="B1157">
            <v>45432</v>
          </cell>
          <cell r="C1157">
            <v>45432</v>
          </cell>
          <cell r="D1157" t="str">
            <v>Always_On</v>
          </cell>
          <cell r="E1157" t="str">
            <v>UK</v>
          </cell>
          <cell r="F1157" t="str">
            <v>Search</v>
          </cell>
          <cell r="G1157">
            <v>3917</v>
          </cell>
          <cell r="H1157">
            <v>56161</v>
          </cell>
          <cell r="I1157">
            <v>49698</v>
          </cell>
          <cell r="J1157">
            <v>326</v>
          </cell>
        </row>
        <row r="1158">
          <cell r="A1158" t="str">
            <v>Always_OnDEYouTube</v>
          </cell>
          <cell r="B1158">
            <v>45432</v>
          </cell>
          <cell r="C1158">
            <v>45432</v>
          </cell>
          <cell r="D1158" t="str">
            <v>Always_On</v>
          </cell>
          <cell r="E1158" t="str">
            <v>DE</v>
          </cell>
          <cell r="F1158" t="str">
            <v>YouTube</v>
          </cell>
          <cell r="G1158">
            <v>6426</v>
          </cell>
          <cell r="H1158">
            <v>522370</v>
          </cell>
          <cell r="I1158">
            <v>259320</v>
          </cell>
          <cell r="J1158">
            <v>195</v>
          </cell>
        </row>
        <row r="1159">
          <cell r="A1159" t="str">
            <v>Always_OnDESocial</v>
          </cell>
          <cell r="B1159">
            <v>45432</v>
          </cell>
          <cell r="C1159">
            <v>45432</v>
          </cell>
          <cell r="D1159" t="str">
            <v>Always_On</v>
          </cell>
          <cell r="E1159" t="str">
            <v>DE</v>
          </cell>
          <cell r="F1159" t="str">
            <v>Social</v>
          </cell>
          <cell r="G1159">
            <v>6174</v>
          </cell>
          <cell r="H1159">
            <v>380509</v>
          </cell>
          <cell r="I1159">
            <v>142967</v>
          </cell>
          <cell r="J1159">
            <v>218</v>
          </cell>
        </row>
        <row r="1160">
          <cell r="A1160" t="str">
            <v>Always_OnDEDisplay</v>
          </cell>
          <cell r="B1160">
            <v>45432</v>
          </cell>
          <cell r="C1160">
            <v>45432</v>
          </cell>
          <cell r="D1160" t="str">
            <v>Always_On</v>
          </cell>
          <cell r="E1160" t="str">
            <v>DE</v>
          </cell>
          <cell r="F1160" t="str">
            <v>Display</v>
          </cell>
          <cell r="G1160">
            <v>2979</v>
          </cell>
          <cell r="H1160">
            <v>774045</v>
          </cell>
          <cell r="I1160">
            <v>143675</v>
          </cell>
          <cell r="J1160">
            <v>25</v>
          </cell>
        </row>
        <row r="1161">
          <cell r="A1161" t="str">
            <v>Always_OnDESearch</v>
          </cell>
          <cell r="B1161">
            <v>45432</v>
          </cell>
          <cell r="C1161">
            <v>45432</v>
          </cell>
          <cell r="D1161" t="str">
            <v>Always_On</v>
          </cell>
          <cell r="E1161" t="str">
            <v>DE</v>
          </cell>
          <cell r="F1161" t="str">
            <v>Search</v>
          </cell>
          <cell r="G1161">
            <v>6794</v>
          </cell>
          <cell r="H1161">
            <v>97460</v>
          </cell>
          <cell r="I1161">
            <v>85343</v>
          </cell>
          <cell r="J1161">
            <v>580</v>
          </cell>
        </row>
        <row r="1162">
          <cell r="A1162" t="str">
            <v>Always_OnSAYouTube</v>
          </cell>
          <cell r="B1162">
            <v>45432</v>
          </cell>
          <cell r="C1162">
            <v>45432</v>
          </cell>
          <cell r="D1162" t="str">
            <v>Always_On</v>
          </cell>
          <cell r="E1162" t="str">
            <v>SA</v>
          </cell>
          <cell r="F1162" t="str">
            <v>YouTube</v>
          </cell>
          <cell r="G1162">
            <v>2903</v>
          </cell>
          <cell r="H1162">
            <v>184745</v>
          </cell>
          <cell r="I1162">
            <v>64617</v>
          </cell>
          <cell r="J1162">
            <v>367</v>
          </cell>
        </row>
        <row r="1163">
          <cell r="A1163" t="str">
            <v>Always_OnSASocial</v>
          </cell>
          <cell r="B1163">
            <v>45432</v>
          </cell>
          <cell r="C1163">
            <v>45432</v>
          </cell>
          <cell r="D1163" t="str">
            <v>Always_On</v>
          </cell>
          <cell r="E1163" t="str">
            <v>SA</v>
          </cell>
          <cell r="F1163" t="str">
            <v>Social</v>
          </cell>
          <cell r="G1163">
            <v>3009</v>
          </cell>
          <cell r="H1163">
            <v>223966</v>
          </cell>
          <cell r="I1163">
            <v>99183</v>
          </cell>
          <cell r="J1163">
            <v>388</v>
          </cell>
        </row>
        <row r="1164">
          <cell r="A1164" t="str">
            <v>Always_OnSADisplay</v>
          </cell>
          <cell r="B1164">
            <v>45432</v>
          </cell>
          <cell r="C1164">
            <v>45432</v>
          </cell>
          <cell r="D1164" t="str">
            <v>Always_On</v>
          </cell>
          <cell r="E1164" t="str">
            <v>SA</v>
          </cell>
          <cell r="F1164" t="str">
            <v>Display</v>
          </cell>
          <cell r="G1164">
            <v>2075</v>
          </cell>
          <cell r="H1164">
            <v>500284</v>
          </cell>
          <cell r="I1164">
            <v>121700</v>
          </cell>
          <cell r="J1164">
            <v>60</v>
          </cell>
        </row>
        <row r="1165">
          <cell r="A1165" t="str">
            <v>Always_OnSASearch</v>
          </cell>
          <cell r="B1165">
            <v>45432</v>
          </cell>
          <cell r="C1165">
            <v>45432</v>
          </cell>
          <cell r="D1165" t="str">
            <v>Always_On</v>
          </cell>
          <cell r="E1165" t="str">
            <v>SA</v>
          </cell>
          <cell r="F1165" t="str">
            <v>Search</v>
          </cell>
          <cell r="G1165">
            <v>3639</v>
          </cell>
          <cell r="H1165">
            <v>51049</v>
          </cell>
          <cell r="I1165">
            <v>45570</v>
          </cell>
          <cell r="J1165">
            <v>1210</v>
          </cell>
        </row>
        <row r="1166">
          <cell r="A1166" t="str">
            <v>Always_OnEGYouTube</v>
          </cell>
          <cell r="B1166">
            <v>45432</v>
          </cell>
          <cell r="C1166">
            <v>45432</v>
          </cell>
          <cell r="D1166" t="str">
            <v>Always_On</v>
          </cell>
          <cell r="E1166" t="str">
            <v>EG</v>
          </cell>
          <cell r="F1166" t="str">
            <v>YouTube</v>
          </cell>
          <cell r="G1166">
            <v>3780</v>
          </cell>
          <cell r="H1166">
            <v>241340</v>
          </cell>
          <cell r="I1166">
            <v>89067</v>
          </cell>
          <cell r="J1166">
            <v>454</v>
          </cell>
        </row>
        <row r="1167">
          <cell r="A1167" t="str">
            <v>Always_OnEGSocial</v>
          </cell>
          <cell r="B1167">
            <v>45432</v>
          </cell>
          <cell r="C1167">
            <v>45432</v>
          </cell>
          <cell r="D1167" t="str">
            <v>Always_On</v>
          </cell>
          <cell r="E1167" t="str">
            <v>EG</v>
          </cell>
          <cell r="F1167" t="str">
            <v>Social</v>
          </cell>
          <cell r="G1167">
            <v>2962</v>
          </cell>
          <cell r="H1167">
            <v>205835</v>
          </cell>
          <cell r="I1167">
            <v>98799</v>
          </cell>
          <cell r="J1167">
            <v>405</v>
          </cell>
        </row>
        <row r="1168">
          <cell r="A1168" t="str">
            <v>Always_OnEGDisplay</v>
          </cell>
          <cell r="B1168">
            <v>45432</v>
          </cell>
          <cell r="C1168">
            <v>45432</v>
          </cell>
          <cell r="D1168" t="str">
            <v>Always_On</v>
          </cell>
          <cell r="E1168" t="str">
            <v>EG</v>
          </cell>
          <cell r="F1168" t="str">
            <v>Display</v>
          </cell>
          <cell r="G1168">
            <v>2324</v>
          </cell>
          <cell r="H1168">
            <v>556140</v>
          </cell>
          <cell r="I1168">
            <v>95543</v>
          </cell>
          <cell r="J1168">
            <v>66</v>
          </cell>
        </row>
        <row r="1169">
          <cell r="A1169" t="str">
            <v>Always_OnEGSearch</v>
          </cell>
          <cell r="B1169">
            <v>45432</v>
          </cell>
          <cell r="C1169">
            <v>45432</v>
          </cell>
          <cell r="D1169" t="str">
            <v>Always_On</v>
          </cell>
          <cell r="E1169" t="str">
            <v>EG</v>
          </cell>
          <cell r="F1169" t="str">
            <v>Search</v>
          </cell>
          <cell r="G1169">
            <v>3495</v>
          </cell>
          <cell r="H1169">
            <v>51586</v>
          </cell>
          <cell r="I1169">
            <v>46827</v>
          </cell>
          <cell r="J1169">
            <v>1163</v>
          </cell>
        </row>
        <row r="1170">
          <cell r="A1170" t="str">
            <v>Always_OnUKYouTube</v>
          </cell>
          <cell r="B1170">
            <v>45439</v>
          </cell>
          <cell r="C1170">
            <v>45439</v>
          </cell>
          <cell r="D1170" t="str">
            <v>Always_On</v>
          </cell>
          <cell r="E1170" t="str">
            <v>UK</v>
          </cell>
          <cell r="F1170" t="str">
            <v>YouTube</v>
          </cell>
          <cell r="G1170">
            <v>6253</v>
          </cell>
          <cell r="H1170">
            <v>484736</v>
          </cell>
          <cell r="I1170">
            <v>179305</v>
          </cell>
          <cell r="J1170">
            <v>211</v>
          </cell>
        </row>
        <row r="1171">
          <cell r="A1171" t="str">
            <v>Always_OnUKSocial</v>
          </cell>
          <cell r="B1171">
            <v>45439</v>
          </cell>
          <cell r="C1171">
            <v>45439</v>
          </cell>
          <cell r="D1171" t="str">
            <v>Always_On</v>
          </cell>
          <cell r="E1171" t="str">
            <v>UK</v>
          </cell>
          <cell r="F1171" t="str">
            <v>Social</v>
          </cell>
          <cell r="G1171">
            <v>5165</v>
          </cell>
          <cell r="H1171">
            <v>427630</v>
          </cell>
          <cell r="I1171">
            <v>177973</v>
          </cell>
          <cell r="J1171">
            <v>167</v>
          </cell>
        </row>
        <row r="1172">
          <cell r="A1172" t="str">
            <v>Always_OnUKDisplay</v>
          </cell>
          <cell r="B1172">
            <v>45439</v>
          </cell>
          <cell r="C1172">
            <v>45439</v>
          </cell>
          <cell r="D1172" t="str">
            <v>Always_On</v>
          </cell>
          <cell r="E1172" t="str">
            <v>UK</v>
          </cell>
          <cell r="F1172" t="str">
            <v>Display</v>
          </cell>
          <cell r="G1172">
            <v>2889</v>
          </cell>
          <cell r="H1172">
            <v>700053</v>
          </cell>
          <cell r="I1172">
            <v>148024</v>
          </cell>
          <cell r="J1172">
            <v>25</v>
          </cell>
        </row>
        <row r="1173">
          <cell r="A1173" t="str">
            <v>Always_OnUKSearch</v>
          </cell>
          <cell r="B1173">
            <v>45439</v>
          </cell>
          <cell r="C1173">
            <v>45439</v>
          </cell>
          <cell r="D1173" t="str">
            <v>Always_On</v>
          </cell>
          <cell r="E1173" t="str">
            <v>UK</v>
          </cell>
          <cell r="F1173" t="str">
            <v>Search</v>
          </cell>
          <cell r="G1173">
            <v>3618</v>
          </cell>
          <cell r="H1173">
            <v>41837</v>
          </cell>
          <cell r="I1173">
            <v>35401</v>
          </cell>
          <cell r="J1173">
            <v>311</v>
          </cell>
        </row>
        <row r="1174">
          <cell r="A1174" t="str">
            <v>Always_OnDEYouTube</v>
          </cell>
          <cell r="B1174">
            <v>45439</v>
          </cell>
          <cell r="C1174">
            <v>45439</v>
          </cell>
          <cell r="D1174" t="str">
            <v>Always_On</v>
          </cell>
          <cell r="E1174" t="str">
            <v>DE</v>
          </cell>
          <cell r="F1174" t="str">
            <v>YouTube</v>
          </cell>
          <cell r="G1174">
            <v>4781</v>
          </cell>
          <cell r="H1174">
            <v>396866</v>
          </cell>
          <cell r="I1174">
            <v>183740</v>
          </cell>
          <cell r="J1174">
            <v>175</v>
          </cell>
        </row>
        <row r="1175">
          <cell r="A1175" t="str">
            <v>Always_OnDESocial</v>
          </cell>
          <cell r="B1175">
            <v>45439</v>
          </cell>
          <cell r="C1175">
            <v>45439</v>
          </cell>
          <cell r="D1175" t="str">
            <v>Always_On</v>
          </cell>
          <cell r="E1175" t="str">
            <v>DE</v>
          </cell>
          <cell r="F1175" t="str">
            <v>Social</v>
          </cell>
          <cell r="G1175">
            <v>2856</v>
          </cell>
          <cell r="H1175">
            <v>169818</v>
          </cell>
          <cell r="I1175">
            <v>66923</v>
          </cell>
          <cell r="J1175">
            <v>87</v>
          </cell>
        </row>
        <row r="1176">
          <cell r="A1176" t="str">
            <v>Always_OnDEDisplay</v>
          </cell>
          <cell r="B1176">
            <v>45439</v>
          </cell>
          <cell r="C1176">
            <v>45439</v>
          </cell>
          <cell r="D1176" t="str">
            <v>Always_On</v>
          </cell>
          <cell r="E1176" t="str">
            <v>DE</v>
          </cell>
          <cell r="F1176" t="str">
            <v>Display</v>
          </cell>
          <cell r="G1176">
            <v>3548</v>
          </cell>
          <cell r="H1176">
            <v>926137</v>
          </cell>
          <cell r="I1176">
            <v>154466</v>
          </cell>
          <cell r="J1176">
            <v>31</v>
          </cell>
        </row>
        <row r="1177">
          <cell r="A1177" t="str">
            <v>Always_OnDESearch</v>
          </cell>
          <cell r="B1177">
            <v>45439</v>
          </cell>
          <cell r="C1177">
            <v>45439</v>
          </cell>
          <cell r="D1177" t="str">
            <v>Always_On</v>
          </cell>
          <cell r="E1177" t="str">
            <v>DE</v>
          </cell>
          <cell r="F1177" t="str">
            <v>Search</v>
          </cell>
          <cell r="G1177">
            <v>3181</v>
          </cell>
          <cell r="H1177">
            <v>36795</v>
          </cell>
          <cell r="I1177">
            <v>31653</v>
          </cell>
          <cell r="J1177">
            <v>279</v>
          </cell>
        </row>
        <row r="1178">
          <cell r="A1178" t="str">
            <v>Always_OnSAYouTube</v>
          </cell>
          <cell r="B1178">
            <v>45439</v>
          </cell>
          <cell r="C1178">
            <v>45439</v>
          </cell>
          <cell r="D1178" t="str">
            <v>Always_On</v>
          </cell>
          <cell r="E1178" t="str">
            <v>SA</v>
          </cell>
          <cell r="F1178" t="str">
            <v>YouTube</v>
          </cell>
          <cell r="G1178">
            <v>2426</v>
          </cell>
          <cell r="H1178">
            <v>164342</v>
          </cell>
          <cell r="I1178">
            <v>64259</v>
          </cell>
          <cell r="J1178">
            <v>303</v>
          </cell>
        </row>
        <row r="1179">
          <cell r="A1179" t="str">
            <v>Always_OnSASocial</v>
          </cell>
          <cell r="B1179">
            <v>45439</v>
          </cell>
          <cell r="C1179">
            <v>45439</v>
          </cell>
          <cell r="D1179" t="str">
            <v>Always_On</v>
          </cell>
          <cell r="E1179" t="str">
            <v>SA</v>
          </cell>
          <cell r="F1179" t="str">
            <v>Social</v>
          </cell>
          <cell r="G1179">
            <v>3664</v>
          </cell>
          <cell r="H1179">
            <v>255638</v>
          </cell>
          <cell r="I1179">
            <v>88308</v>
          </cell>
          <cell r="J1179">
            <v>417</v>
          </cell>
        </row>
        <row r="1180">
          <cell r="A1180" t="str">
            <v>Always_OnSADisplay</v>
          </cell>
          <cell r="B1180">
            <v>45439</v>
          </cell>
          <cell r="C1180">
            <v>45439</v>
          </cell>
          <cell r="D1180" t="str">
            <v>Always_On</v>
          </cell>
          <cell r="E1180" t="str">
            <v>SA</v>
          </cell>
          <cell r="F1180" t="str">
            <v>Display</v>
          </cell>
          <cell r="G1180">
            <v>2712</v>
          </cell>
          <cell r="H1180">
            <v>661222</v>
          </cell>
          <cell r="I1180">
            <v>114841</v>
          </cell>
          <cell r="J1180">
            <v>79</v>
          </cell>
        </row>
        <row r="1181">
          <cell r="A1181" t="str">
            <v>Always_OnSASearch</v>
          </cell>
          <cell r="B1181">
            <v>45439</v>
          </cell>
          <cell r="C1181">
            <v>45439</v>
          </cell>
          <cell r="D1181" t="str">
            <v>Always_On</v>
          </cell>
          <cell r="E1181" t="str">
            <v>SA</v>
          </cell>
          <cell r="F1181" t="str">
            <v>Search</v>
          </cell>
          <cell r="G1181">
            <v>3521</v>
          </cell>
          <cell r="H1181">
            <v>41541</v>
          </cell>
          <cell r="I1181">
            <v>36557</v>
          </cell>
          <cell r="J1181">
            <v>1043</v>
          </cell>
        </row>
        <row r="1182">
          <cell r="A1182" t="str">
            <v>Always_OnEGYouTube</v>
          </cell>
          <cell r="B1182">
            <v>45439</v>
          </cell>
          <cell r="C1182">
            <v>45439</v>
          </cell>
          <cell r="D1182" t="str">
            <v>Always_On</v>
          </cell>
          <cell r="E1182" t="str">
            <v>EG</v>
          </cell>
          <cell r="F1182" t="str">
            <v>YouTube</v>
          </cell>
          <cell r="G1182">
            <v>2388</v>
          </cell>
          <cell r="H1182">
            <v>168760</v>
          </cell>
          <cell r="I1182">
            <v>73765</v>
          </cell>
          <cell r="J1182">
            <v>292</v>
          </cell>
        </row>
        <row r="1183">
          <cell r="A1183" t="str">
            <v>Always_OnEGSocial</v>
          </cell>
          <cell r="B1183">
            <v>45439</v>
          </cell>
          <cell r="C1183">
            <v>45439</v>
          </cell>
          <cell r="D1183" t="str">
            <v>Always_On</v>
          </cell>
          <cell r="E1183" t="str">
            <v>EG</v>
          </cell>
          <cell r="F1183" t="str">
            <v>Social</v>
          </cell>
          <cell r="G1183">
            <v>3141</v>
          </cell>
          <cell r="H1183">
            <v>175525</v>
          </cell>
          <cell r="I1183">
            <v>67414</v>
          </cell>
          <cell r="J1183">
            <v>373</v>
          </cell>
        </row>
        <row r="1184">
          <cell r="A1184" t="str">
            <v>Always_OnEGDisplay</v>
          </cell>
          <cell r="B1184">
            <v>45439</v>
          </cell>
          <cell r="C1184">
            <v>45439</v>
          </cell>
          <cell r="D1184" t="str">
            <v>Always_On</v>
          </cell>
          <cell r="E1184" t="str">
            <v>EG</v>
          </cell>
          <cell r="F1184" t="str">
            <v>Display</v>
          </cell>
          <cell r="G1184">
            <v>2884</v>
          </cell>
          <cell r="H1184">
            <v>813624</v>
          </cell>
          <cell r="I1184">
            <v>142876</v>
          </cell>
          <cell r="J1184">
            <v>92</v>
          </cell>
        </row>
        <row r="1185">
          <cell r="A1185" t="str">
            <v>Always_OnEGSearch</v>
          </cell>
          <cell r="B1185">
            <v>45439</v>
          </cell>
          <cell r="C1185">
            <v>45439</v>
          </cell>
          <cell r="D1185" t="str">
            <v>Always_On</v>
          </cell>
          <cell r="E1185" t="str">
            <v>EG</v>
          </cell>
          <cell r="F1185" t="str">
            <v>Search</v>
          </cell>
          <cell r="G1185">
            <v>3809</v>
          </cell>
          <cell r="H1185">
            <v>51416</v>
          </cell>
          <cell r="I1185">
            <v>45532</v>
          </cell>
          <cell r="J1185">
            <v>1108</v>
          </cell>
        </row>
        <row r="1186">
          <cell r="A1186" t="str">
            <v>Always_OnUKYouTube</v>
          </cell>
          <cell r="B1186">
            <v>45446</v>
          </cell>
          <cell r="C1186">
            <v>45446</v>
          </cell>
          <cell r="D1186" t="str">
            <v>Always_On</v>
          </cell>
          <cell r="E1186" t="str">
            <v>UK</v>
          </cell>
          <cell r="F1186" t="str">
            <v>YouTube</v>
          </cell>
          <cell r="G1186">
            <v>6143</v>
          </cell>
          <cell r="H1186">
            <v>454030</v>
          </cell>
          <cell r="I1186">
            <v>163660</v>
          </cell>
          <cell r="J1186">
            <v>197</v>
          </cell>
        </row>
        <row r="1187">
          <cell r="A1187" t="str">
            <v>Always_OnUKSocial</v>
          </cell>
          <cell r="B1187">
            <v>45446</v>
          </cell>
          <cell r="C1187">
            <v>45446</v>
          </cell>
          <cell r="D1187" t="str">
            <v>Always_On</v>
          </cell>
          <cell r="E1187" t="str">
            <v>UK</v>
          </cell>
          <cell r="F1187" t="str">
            <v>Social</v>
          </cell>
          <cell r="G1187">
            <v>4321</v>
          </cell>
          <cell r="H1187">
            <v>261245</v>
          </cell>
          <cell r="I1187">
            <v>120535</v>
          </cell>
          <cell r="J1187">
            <v>159</v>
          </cell>
        </row>
        <row r="1188">
          <cell r="A1188" t="str">
            <v>Always_OnUKDisplay</v>
          </cell>
          <cell r="B1188">
            <v>45446</v>
          </cell>
          <cell r="C1188">
            <v>45446</v>
          </cell>
          <cell r="D1188" t="str">
            <v>Always_On</v>
          </cell>
          <cell r="E1188" t="str">
            <v>UK</v>
          </cell>
          <cell r="F1188" t="str">
            <v>Display</v>
          </cell>
          <cell r="G1188">
            <v>3969</v>
          </cell>
          <cell r="H1188">
            <v>917447</v>
          </cell>
          <cell r="I1188">
            <v>216723</v>
          </cell>
          <cell r="J1188">
            <v>31</v>
          </cell>
        </row>
        <row r="1189">
          <cell r="A1189" t="str">
            <v>Always_OnUKSearch</v>
          </cell>
          <cell r="B1189">
            <v>45446</v>
          </cell>
          <cell r="C1189">
            <v>45446</v>
          </cell>
          <cell r="D1189" t="str">
            <v>Always_On</v>
          </cell>
          <cell r="E1189" t="str">
            <v>UK</v>
          </cell>
          <cell r="F1189" t="str">
            <v>Search</v>
          </cell>
          <cell r="G1189">
            <v>5874</v>
          </cell>
          <cell r="H1189">
            <v>64470</v>
          </cell>
          <cell r="I1189">
            <v>58370</v>
          </cell>
          <cell r="J1189">
            <v>534</v>
          </cell>
        </row>
        <row r="1190">
          <cell r="A1190" t="str">
            <v>Always_OnDEYouTube</v>
          </cell>
          <cell r="B1190">
            <v>45446</v>
          </cell>
          <cell r="C1190">
            <v>45446</v>
          </cell>
          <cell r="D1190" t="str">
            <v>Always_On</v>
          </cell>
          <cell r="E1190" t="str">
            <v>DE</v>
          </cell>
          <cell r="F1190" t="str">
            <v>YouTube</v>
          </cell>
          <cell r="G1190">
            <v>3213</v>
          </cell>
          <cell r="H1190">
            <v>258661</v>
          </cell>
          <cell r="I1190">
            <v>121581</v>
          </cell>
          <cell r="J1190">
            <v>112</v>
          </cell>
        </row>
        <row r="1191">
          <cell r="A1191" t="str">
            <v>Always_OnDESocial</v>
          </cell>
          <cell r="B1191">
            <v>45446</v>
          </cell>
          <cell r="C1191">
            <v>45446</v>
          </cell>
          <cell r="D1191" t="str">
            <v>Always_On</v>
          </cell>
          <cell r="E1191" t="str">
            <v>DE</v>
          </cell>
          <cell r="F1191" t="str">
            <v>Social</v>
          </cell>
          <cell r="G1191">
            <v>3863</v>
          </cell>
          <cell r="H1191">
            <v>334952</v>
          </cell>
          <cell r="I1191">
            <v>166523</v>
          </cell>
          <cell r="J1191">
            <v>121</v>
          </cell>
        </row>
        <row r="1192">
          <cell r="A1192" t="str">
            <v>Always_OnDEDisplay</v>
          </cell>
          <cell r="B1192">
            <v>45446</v>
          </cell>
          <cell r="C1192">
            <v>45446</v>
          </cell>
          <cell r="D1192" t="str">
            <v>Always_On</v>
          </cell>
          <cell r="E1192" t="str">
            <v>DE</v>
          </cell>
          <cell r="F1192" t="str">
            <v>Display</v>
          </cell>
          <cell r="G1192">
            <v>1867</v>
          </cell>
          <cell r="H1192">
            <v>450545</v>
          </cell>
          <cell r="I1192">
            <v>85064</v>
          </cell>
          <cell r="J1192">
            <v>14</v>
          </cell>
        </row>
        <row r="1193">
          <cell r="A1193" t="str">
            <v>Always_OnDESearch</v>
          </cell>
          <cell r="B1193">
            <v>45446</v>
          </cell>
          <cell r="C1193">
            <v>45446</v>
          </cell>
          <cell r="D1193" t="str">
            <v>Always_On</v>
          </cell>
          <cell r="E1193" t="str">
            <v>DE</v>
          </cell>
          <cell r="F1193" t="str">
            <v>Search</v>
          </cell>
          <cell r="G1193">
            <v>6524</v>
          </cell>
          <cell r="H1193">
            <v>65989</v>
          </cell>
          <cell r="I1193">
            <v>56181</v>
          </cell>
          <cell r="J1193">
            <v>574</v>
          </cell>
        </row>
        <row r="1194">
          <cell r="A1194" t="str">
            <v>Always_OnSAYouTube</v>
          </cell>
          <cell r="B1194">
            <v>45446</v>
          </cell>
          <cell r="C1194">
            <v>45446</v>
          </cell>
          <cell r="D1194" t="str">
            <v>Always_On</v>
          </cell>
          <cell r="E1194" t="str">
            <v>SA</v>
          </cell>
          <cell r="F1194" t="str">
            <v>YouTube</v>
          </cell>
          <cell r="G1194">
            <v>4353</v>
          </cell>
          <cell r="H1194">
            <v>308524</v>
          </cell>
          <cell r="I1194">
            <v>144996</v>
          </cell>
          <cell r="J1194">
            <v>523</v>
          </cell>
        </row>
        <row r="1195">
          <cell r="A1195" t="str">
            <v>Always_OnSASocial</v>
          </cell>
          <cell r="B1195">
            <v>45446</v>
          </cell>
          <cell r="C1195">
            <v>45446</v>
          </cell>
          <cell r="D1195" t="str">
            <v>Always_On</v>
          </cell>
          <cell r="E1195" t="str">
            <v>SA</v>
          </cell>
          <cell r="F1195" t="str">
            <v>Social</v>
          </cell>
          <cell r="G1195">
            <v>4635</v>
          </cell>
          <cell r="H1195">
            <v>277790</v>
          </cell>
          <cell r="I1195">
            <v>93557</v>
          </cell>
          <cell r="J1195">
            <v>590</v>
          </cell>
        </row>
        <row r="1196">
          <cell r="A1196" t="str">
            <v>Always_OnSADisplay</v>
          </cell>
          <cell r="B1196">
            <v>45446</v>
          </cell>
          <cell r="C1196">
            <v>45446</v>
          </cell>
          <cell r="D1196" t="str">
            <v>Always_On</v>
          </cell>
          <cell r="E1196" t="str">
            <v>SA</v>
          </cell>
          <cell r="F1196" t="str">
            <v>Display</v>
          </cell>
          <cell r="G1196">
            <v>1781</v>
          </cell>
          <cell r="H1196">
            <v>385492</v>
          </cell>
          <cell r="I1196">
            <v>93044</v>
          </cell>
          <cell r="J1196">
            <v>57</v>
          </cell>
        </row>
        <row r="1197">
          <cell r="A1197" t="str">
            <v>Always_OnSASearch</v>
          </cell>
          <cell r="B1197">
            <v>45446</v>
          </cell>
          <cell r="C1197">
            <v>45446</v>
          </cell>
          <cell r="D1197" t="str">
            <v>Always_On</v>
          </cell>
          <cell r="E1197" t="str">
            <v>SA</v>
          </cell>
          <cell r="F1197" t="str">
            <v>Search</v>
          </cell>
          <cell r="G1197">
            <v>2430</v>
          </cell>
          <cell r="H1197">
            <v>34640</v>
          </cell>
          <cell r="I1197">
            <v>30129</v>
          </cell>
          <cell r="J1197">
            <v>759</v>
          </cell>
        </row>
        <row r="1198">
          <cell r="A1198" t="str">
            <v>Always_OnEGYouTube</v>
          </cell>
          <cell r="B1198">
            <v>45446</v>
          </cell>
          <cell r="C1198">
            <v>45446</v>
          </cell>
          <cell r="D1198" t="str">
            <v>Always_On</v>
          </cell>
          <cell r="E1198" t="str">
            <v>EG</v>
          </cell>
          <cell r="F1198" t="str">
            <v>YouTube</v>
          </cell>
          <cell r="G1198">
            <v>2388</v>
          </cell>
          <cell r="H1198">
            <v>176724</v>
          </cell>
          <cell r="I1198">
            <v>82289</v>
          </cell>
          <cell r="J1198">
            <v>321</v>
          </cell>
        </row>
        <row r="1199">
          <cell r="A1199" t="str">
            <v>Always_OnEGSocial</v>
          </cell>
          <cell r="B1199">
            <v>45446</v>
          </cell>
          <cell r="C1199">
            <v>45446</v>
          </cell>
          <cell r="D1199" t="str">
            <v>Always_On</v>
          </cell>
          <cell r="E1199" t="str">
            <v>EG</v>
          </cell>
          <cell r="F1199" t="str">
            <v>Social</v>
          </cell>
          <cell r="G1199">
            <v>4124</v>
          </cell>
          <cell r="H1199">
            <v>367020</v>
          </cell>
          <cell r="I1199">
            <v>144018</v>
          </cell>
          <cell r="J1199">
            <v>529</v>
          </cell>
        </row>
        <row r="1200">
          <cell r="A1200" t="str">
            <v>Always_OnEGDisplay</v>
          </cell>
          <cell r="B1200">
            <v>45446</v>
          </cell>
          <cell r="C1200">
            <v>45446</v>
          </cell>
          <cell r="D1200" t="str">
            <v>Always_On</v>
          </cell>
          <cell r="E1200" t="str">
            <v>EG</v>
          </cell>
          <cell r="F1200" t="str">
            <v>Display</v>
          </cell>
          <cell r="G1200">
            <v>2176</v>
          </cell>
          <cell r="H1200">
            <v>581595</v>
          </cell>
          <cell r="I1200">
            <v>103530</v>
          </cell>
          <cell r="J1200">
            <v>74</v>
          </cell>
        </row>
        <row r="1201">
          <cell r="A1201" t="str">
            <v>Always_OnEGSearch</v>
          </cell>
          <cell r="B1201">
            <v>45446</v>
          </cell>
          <cell r="C1201">
            <v>45446</v>
          </cell>
          <cell r="D1201" t="str">
            <v>Always_On</v>
          </cell>
          <cell r="E1201" t="str">
            <v>EG</v>
          </cell>
          <cell r="F1201" t="str">
            <v>Search</v>
          </cell>
          <cell r="G1201">
            <v>2305</v>
          </cell>
          <cell r="H1201">
            <v>30982</v>
          </cell>
          <cell r="I1201">
            <v>26535</v>
          </cell>
          <cell r="J1201">
            <v>779</v>
          </cell>
        </row>
        <row r="1202">
          <cell r="A1202" t="str">
            <v>Always_OnUKYouTube</v>
          </cell>
          <cell r="B1202">
            <v>45453</v>
          </cell>
          <cell r="C1202">
            <v>45453</v>
          </cell>
          <cell r="D1202" t="str">
            <v>Always_On</v>
          </cell>
          <cell r="E1202" t="str">
            <v>UK</v>
          </cell>
          <cell r="F1202" t="str">
            <v>YouTube</v>
          </cell>
          <cell r="G1202">
            <v>3318</v>
          </cell>
          <cell r="H1202">
            <v>232530</v>
          </cell>
          <cell r="I1202">
            <v>114874</v>
          </cell>
          <cell r="J1202">
            <v>101</v>
          </cell>
        </row>
        <row r="1203">
          <cell r="A1203" t="str">
            <v>Always_OnUKSocial</v>
          </cell>
          <cell r="B1203">
            <v>45453</v>
          </cell>
          <cell r="C1203">
            <v>45453</v>
          </cell>
          <cell r="D1203" t="str">
            <v>Always_On</v>
          </cell>
          <cell r="E1203" t="str">
            <v>UK</v>
          </cell>
          <cell r="F1203" t="str">
            <v>Social</v>
          </cell>
          <cell r="G1203">
            <v>5049</v>
          </cell>
          <cell r="H1203">
            <v>417442</v>
          </cell>
          <cell r="I1203">
            <v>198497</v>
          </cell>
          <cell r="J1203">
            <v>156</v>
          </cell>
        </row>
        <row r="1204">
          <cell r="A1204" t="str">
            <v>Always_OnUKDisplay</v>
          </cell>
          <cell r="B1204">
            <v>45453</v>
          </cell>
          <cell r="C1204">
            <v>45453</v>
          </cell>
          <cell r="D1204" t="str">
            <v>Always_On</v>
          </cell>
          <cell r="E1204" t="str">
            <v>UK</v>
          </cell>
          <cell r="F1204" t="str">
            <v>Display</v>
          </cell>
          <cell r="G1204">
            <v>2072</v>
          </cell>
          <cell r="H1204">
            <v>525017</v>
          </cell>
          <cell r="I1204">
            <v>91560</v>
          </cell>
          <cell r="J1204">
            <v>15</v>
          </cell>
        </row>
        <row r="1205">
          <cell r="A1205" t="str">
            <v>Always_OnUKSearch</v>
          </cell>
          <cell r="B1205">
            <v>45453</v>
          </cell>
          <cell r="C1205">
            <v>45453</v>
          </cell>
          <cell r="D1205" t="str">
            <v>Always_On</v>
          </cell>
          <cell r="E1205" t="str">
            <v>UK</v>
          </cell>
          <cell r="F1205" t="str">
            <v>Search</v>
          </cell>
          <cell r="G1205">
            <v>5797</v>
          </cell>
          <cell r="H1205">
            <v>58576</v>
          </cell>
          <cell r="I1205">
            <v>52889</v>
          </cell>
          <cell r="J1205">
            <v>509</v>
          </cell>
        </row>
        <row r="1206">
          <cell r="A1206" t="str">
            <v>Always_OnDEYouTube</v>
          </cell>
          <cell r="B1206">
            <v>45453</v>
          </cell>
          <cell r="C1206">
            <v>45453</v>
          </cell>
          <cell r="D1206" t="str">
            <v>Always_On</v>
          </cell>
          <cell r="E1206" t="str">
            <v>DE</v>
          </cell>
          <cell r="F1206" t="str">
            <v>YouTube</v>
          </cell>
          <cell r="G1206">
            <v>4136</v>
          </cell>
          <cell r="H1206">
            <v>223290</v>
          </cell>
          <cell r="I1206">
            <v>75157</v>
          </cell>
          <cell r="J1206">
            <v>140</v>
          </cell>
        </row>
        <row r="1207">
          <cell r="A1207" t="str">
            <v>Always_OnDESocial</v>
          </cell>
          <cell r="B1207">
            <v>45453</v>
          </cell>
          <cell r="C1207">
            <v>45453</v>
          </cell>
          <cell r="D1207" t="str">
            <v>Always_On</v>
          </cell>
          <cell r="E1207" t="str">
            <v>DE</v>
          </cell>
          <cell r="F1207" t="str">
            <v>Social</v>
          </cell>
          <cell r="G1207">
            <v>6378</v>
          </cell>
          <cell r="H1207">
            <v>447880</v>
          </cell>
          <cell r="I1207">
            <v>154910</v>
          </cell>
          <cell r="J1207">
            <v>208</v>
          </cell>
        </row>
        <row r="1208">
          <cell r="A1208" t="str">
            <v>Always_OnDEDisplay</v>
          </cell>
          <cell r="B1208">
            <v>45453</v>
          </cell>
          <cell r="C1208">
            <v>45453</v>
          </cell>
          <cell r="D1208" t="str">
            <v>Always_On</v>
          </cell>
          <cell r="E1208" t="str">
            <v>DE</v>
          </cell>
          <cell r="F1208" t="str">
            <v>Display</v>
          </cell>
          <cell r="G1208">
            <v>2687</v>
          </cell>
          <cell r="H1208">
            <v>560693</v>
          </cell>
          <cell r="I1208">
            <v>135097</v>
          </cell>
          <cell r="J1208">
            <v>22</v>
          </cell>
        </row>
        <row r="1209">
          <cell r="A1209" t="str">
            <v>Always_OnDESearch</v>
          </cell>
          <cell r="B1209">
            <v>45453</v>
          </cell>
          <cell r="C1209">
            <v>45453</v>
          </cell>
          <cell r="D1209" t="str">
            <v>Always_On</v>
          </cell>
          <cell r="E1209" t="str">
            <v>DE</v>
          </cell>
          <cell r="F1209" t="str">
            <v>Search</v>
          </cell>
          <cell r="G1209">
            <v>4459</v>
          </cell>
          <cell r="H1209">
            <v>57494</v>
          </cell>
          <cell r="I1209">
            <v>48973</v>
          </cell>
          <cell r="J1209">
            <v>371</v>
          </cell>
        </row>
        <row r="1210">
          <cell r="A1210" t="str">
            <v>Always_OnSAYouTube</v>
          </cell>
          <cell r="B1210">
            <v>45453</v>
          </cell>
          <cell r="C1210">
            <v>45453</v>
          </cell>
          <cell r="D1210" t="str">
            <v>Always_On</v>
          </cell>
          <cell r="E1210" t="str">
            <v>SA</v>
          </cell>
          <cell r="F1210" t="str">
            <v>YouTube</v>
          </cell>
          <cell r="G1210">
            <v>5219</v>
          </cell>
          <cell r="H1210">
            <v>338009</v>
          </cell>
          <cell r="I1210">
            <v>148563</v>
          </cell>
          <cell r="J1210">
            <v>672</v>
          </cell>
        </row>
        <row r="1211">
          <cell r="A1211" t="str">
            <v>Always_OnSASocial</v>
          </cell>
          <cell r="B1211">
            <v>45453</v>
          </cell>
          <cell r="C1211">
            <v>45453</v>
          </cell>
          <cell r="D1211" t="str">
            <v>Always_On</v>
          </cell>
          <cell r="E1211" t="str">
            <v>SA</v>
          </cell>
          <cell r="F1211" t="str">
            <v>Social</v>
          </cell>
          <cell r="G1211">
            <v>4836</v>
          </cell>
          <cell r="H1211">
            <v>260131</v>
          </cell>
          <cell r="I1211">
            <v>93295</v>
          </cell>
          <cell r="J1211">
            <v>586</v>
          </cell>
        </row>
        <row r="1212">
          <cell r="A1212" t="str">
            <v>Always_OnSADisplay</v>
          </cell>
          <cell r="B1212">
            <v>45453</v>
          </cell>
          <cell r="C1212">
            <v>45453</v>
          </cell>
          <cell r="D1212" t="str">
            <v>Always_On</v>
          </cell>
          <cell r="E1212" t="str">
            <v>SA</v>
          </cell>
          <cell r="F1212" t="str">
            <v>Display</v>
          </cell>
          <cell r="G1212">
            <v>1914</v>
          </cell>
          <cell r="H1212">
            <v>462135</v>
          </cell>
          <cell r="I1212">
            <v>84722</v>
          </cell>
          <cell r="J1212">
            <v>58</v>
          </cell>
        </row>
        <row r="1213">
          <cell r="A1213" t="str">
            <v>Always_OnSASearch</v>
          </cell>
          <cell r="B1213">
            <v>45453</v>
          </cell>
          <cell r="C1213">
            <v>45453</v>
          </cell>
          <cell r="D1213" t="str">
            <v>Always_On</v>
          </cell>
          <cell r="E1213" t="str">
            <v>SA</v>
          </cell>
          <cell r="F1213" t="str">
            <v>Search</v>
          </cell>
          <cell r="G1213">
            <v>4341</v>
          </cell>
          <cell r="H1213">
            <v>46643</v>
          </cell>
          <cell r="I1213">
            <v>41032</v>
          </cell>
          <cell r="J1213">
            <v>1495</v>
          </cell>
        </row>
        <row r="1214">
          <cell r="A1214" t="str">
            <v>Always_OnEGYouTube</v>
          </cell>
          <cell r="B1214">
            <v>45453</v>
          </cell>
          <cell r="C1214">
            <v>45453</v>
          </cell>
          <cell r="D1214" t="str">
            <v>Always_On</v>
          </cell>
          <cell r="E1214" t="str">
            <v>EG</v>
          </cell>
          <cell r="F1214" t="str">
            <v>YouTube</v>
          </cell>
          <cell r="G1214">
            <v>4900</v>
          </cell>
          <cell r="H1214">
            <v>379959</v>
          </cell>
          <cell r="I1214">
            <v>156168</v>
          </cell>
          <cell r="J1214">
            <v>667</v>
          </cell>
        </row>
        <row r="1215">
          <cell r="A1215" t="str">
            <v>Always_OnEGSocial</v>
          </cell>
          <cell r="B1215">
            <v>45453</v>
          </cell>
          <cell r="C1215">
            <v>45453</v>
          </cell>
          <cell r="D1215" t="str">
            <v>Always_On</v>
          </cell>
          <cell r="E1215" t="str">
            <v>EG</v>
          </cell>
          <cell r="F1215" t="str">
            <v>Social</v>
          </cell>
          <cell r="G1215">
            <v>2888</v>
          </cell>
          <cell r="H1215">
            <v>243549</v>
          </cell>
          <cell r="I1215">
            <v>101104</v>
          </cell>
          <cell r="J1215">
            <v>386</v>
          </cell>
        </row>
        <row r="1216">
          <cell r="A1216" t="str">
            <v>Always_OnEGDisplay</v>
          </cell>
          <cell r="B1216">
            <v>45453</v>
          </cell>
          <cell r="C1216">
            <v>45453</v>
          </cell>
          <cell r="D1216" t="str">
            <v>Always_On</v>
          </cell>
          <cell r="E1216" t="str">
            <v>EG</v>
          </cell>
          <cell r="F1216" t="str">
            <v>Display</v>
          </cell>
          <cell r="G1216">
            <v>2167</v>
          </cell>
          <cell r="H1216">
            <v>490550</v>
          </cell>
          <cell r="I1216">
            <v>83389</v>
          </cell>
          <cell r="J1216">
            <v>72</v>
          </cell>
        </row>
        <row r="1217">
          <cell r="A1217" t="str">
            <v>Always_OnEGSearch</v>
          </cell>
          <cell r="B1217">
            <v>45453</v>
          </cell>
          <cell r="C1217">
            <v>45453</v>
          </cell>
          <cell r="D1217" t="str">
            <v>Always_On</v>
          </cell>
          <cell r="E1217" t="str">
            <v>EG</v>
          </cell>
          <cell r="F1217" t="str">
            <v>Search</v>
          </cell>
          <cell r="G1217">
            <v>4609</v>
          </cell>
          <cell r="H1217">
            <v>50961</v>
          </cell>
          <cell r="I1217">
            <v>44378</v>
          </cell>
          <cell r="J1217">
            <v>1378</v>
          </cell>
        </row>
        <row r="1218">
          <cell r="A1218" t="str">
            <v>Always_OnUKYouTube</v>
          </cell>
          <cell r="B1218">
            <v>45460</v>
          </cell>
          <cell r="C1218">
            <v>45460</v>
          </cell>
          <cell r="D1218" t="str">
            <v>Always_On</v>
          </cell>
          <cell r="E1218" t="str">
            <v>UK</v>
          </cell>
          <cell r="F1218" t="str">
            <v>YouTube</v>
          </cell>
          <cell r="G1218">
            <v>5663</v>
          </cell>
          <cell r="H1218">
            <v>348397</v>
          </cell>
          <cell r="I1218">
            <v>158656</v>
          </cell>
          <cell r="J1218">
            <v>181</v>
          </cell>
        </row>
        <row r="1219">
          <cell r="A1219" t="str">
            <v>Always_OnUKSocial</v>
          </cell>
          <cell r="B1219">
            <v>45460</v>
          </cell>
          <cell r="C1219">
            <v>45460</v>
          </cell>
          <cell r="D1219" t="str">
            <v>Always_On</v>
          </cell>
          <cell r="E1219" t="str">
            <v>UK</v>
          </cell>
          <cell r="F1219" t="str">
            <v>Social</v>
          </cell>
          <cell r="G1219">
            <v>3746</v>
          </cell>
          <cell r="H1219">
            <v>250678</v>
          </cell>
          <cell r="I1219">
            <v>85500</v>
          </cell>
          <cell r="J1219">
            <v>128</v>
          </cell>
        </row>
        <row r="1220">
          <cell r="A1220" t="str">
            <v>Always_OnUKDisplay</v>
          </cell>
          <cell r="B1220">
            <v>45460</v>
          </cell>
          <cell r="C1220">
            <v>45460</v>
          </cell>
          <cell r="D1220" t="str">
            <v>Always_On</v>
          </cell>
          <cell r="E1220" t="str">
            <v>UK</v>
          </cell>
          <cell r="F1220" t="str">
            <v>Display</v>
          </cell>
          <cell r="G1220">
            <v>2857</v>
          </cell>
          <cell r="H1220">
            <v>791502</v>
          </cell>
          <cell r="I1220">
            <v>132482</v>
          </cell>
          <cell r="J1220">
            <v>24</v>
          </cell>
        </row>
        <row r="1221">
          <cell r="A1221" t="str">
            <v>Always_OnUKSearch</v>
          </cell>
          <cell r="B1221">
            <v>45460</v>
          </cell>
          <cell r="C1221">
            <v>45460</v>
          </cell>
          <cell r="D1221" t="str">
            <v>Always_On</v>
          </cell>
          <cell r="E1221" t="str">
            <v>UK</v>
          </cell>
          <cell r="F1221" t="str">
            <v>Search</v>
          </cell>
          <cell r="G1221">
            <v>2830</v>
          </cell>
          <cell r="H1221">
            <v>38327</v>
          </cell>
          <cell r="I1221">
            <v>32475</v>
          </cell>
          <cell r="J1221">
            <v>215</v>
          </cell>
        </row>
        <row r="1222">
          <cell r="A1222" t="str">
            <v>Always_OnDEYouTube</v>
          </cell>
          <cell r="B1222">
            <v>45460</v>
          </cell>
          <cell r="C1222">
            <v>45460</v>
          </cell>
          <cell r="D1222" t="str">
            <v>Always_On</v>
          </cell>
          <cell r="E1222" t="str">
            <v>DE</v>
          </cell>
          <cell r="F1222" t="str">
            <v>YouTube</v>
          </cell>
          <cell r="G1222">
            <v>4265</v>
          </cell>
          <cell r="H1222">
            <v>232900</v>
          </cell>
          <cell r="I1222">
            <v>111061</v>
          </cell>
          <cell r="J1222">
            <v>140</v>
          </cell>
        </row>
        <row r="1223">
          <cell r="A1223" t="str">
            <v>Always_OnDESocial</v>
          </cell>
          <cell r="B1223">
            <v>45460</v>
          </cell>
          <cell r="C1223">
            <v>45460</v>
          </cell>
          <cell r="D1223" t="str">
            <v>Always_On</v>
          </cell>
          <cell r="E1223" t="str">
            <v>DE</v>
          </cell>
          <cell r="F1223" t="str">
            <v>Social</v>
          </cell>
          <cell r="G1223">
            <v>4328</v>
          </cell>
          <cell r="H1223">
            <v>226834</v>
          </cell>
          <cell r="I1223">
            <v>94654</v>
          </cell>
          <cell r="J1223">
            <v>159</v>
          </cell>
        </row>
        <row r="1224">
          <cell r="A1224" t="str">
            <v>Always_OnDEDisplay</v>
          </cell>
          <cell r="B1224">
            <v>45460</v>
          </cell>
          <cell r="C1224">
            <v>45460</v>
          </cell>
          <cell r="D1224" t="str">
            <v>Always_On</v>
          </cell>
          <cell r="E1224" t="str">
            <v>DE</v>
          </cell>
          <cell r="F1224" t="str">
            <v>Display</v>
          </cell>
          <cell r="G1224">
            <v>2525</v>
          </cell>
          <cell r="H1224">
            <v>538679</v>
          </cell>
          <cell r="I1224">
            <v>100193</v>
          </cell>
          <cell r="J1224">
            <v>21</v>
          </cell>
        </row>
        <row r="1225">
          <cell r="A1225" t="str">
            <v>Always_OnDESearch</v>
          </cell>
          <cell r="B1225">
            <v>45460</v>
          </cell>
          <cell r="C1225">
            <v>45460</v>
          </cell>
          <cell r="D1225" t="str">
            <v>Always_On</v>
          </cell>
          <cell r="E1225" t="str">
            <v>DE</v>
          </cell>
          <cell r="F1225" t="str">
            <v>Search</v>
          </cell>
          <cell r="G1225">
            <v>6913</v>
          </cell>
          <cell r="H1225">
            <v>77981</v>
          </cell>
          <cell r="I1225">
            <v>70428</v>
          </cell>
          <cell r="J1225">
            <v>576</v>
          </cell>
        </row>
        <row r="1226">
          <cell r="A1226" t="str">
            <v>Always_OnSAYouTube</v>
          </cell>
          <cell r="B1226">
            <v>45460</v>
          </cell>
          <cell r="C1226">
            <v>45460</v>
          </cell>
          <cell r="D1226" t="str">
            <v>Always_On</v>
          </cell>
          <cell r="E1226" t="str">
            <v>SA</v>
          </cell>
          <cell r="F1226" t="str">
            <v>YouTube</v>
          </cell>
          <cell r="G1226">
            <v>2738</v>
          </cell>
          <cell r="H1226">
            <v>142898</v>
          </cell>
          <cell r="I1226">
            <v>62471</v>
          </cell>
          <cell r="J1226">
            <v>360</v>
          </cell>
        </row>
        <row r="1227">
          <cell r="A1227" t="str">
            <v>Always_OnSASocial</v>
          </cell>
          <cell r="B1227">
            <v>45460</v>
          </cell>
          <cell r="C1227">
            <v>45460</v>
          </cell>
          <cell r="D1227" t="str">
            <v>Always_On</v>
          </cell>
          <cell r="E1227" t="str">
            <v>SA</v>
          </cell>
          <cell r="F1227" t="str">
            <v>Social</v>
          </cell>
          <cell r="G1227">
            <v>2113</v>
          </cell>
          <cell r="H1227">
            <v>107422</v>
          </cell>
          <cell r="I1227">
            <v>51184</v>
          </cell>
          <cell r="J1227">
            <v>246</v>
          </cell>
        </row>
        <row r="1228">
          <cell r="A1228" t="str">
            <v>Always_OnSADisplay</v>
          </cell>
          <cell r="B1228">
            <v>45460</v>
          </cell>
          <cell r="C1228">
            <v>45460</v>
          </cell>
          <cell r="D1228" t="str">
            <v>Always_On</v>
          </cell>
          <cell r="E1228" t="str">
            <v>SA</v>
          </cell>
          <cell r="F1228" t="str">
            <v>Display</v>
          </cell>
          <cell r="G1228">
            <v>2768</v>
          </cell>
          <cell r="H1228">
            <v>686748</v>
          </cell>
          <cell r="I1228">
            <v>141150</v>
          </cell>
          <cell r="J1228">
            <v>88</v>
          </cell>
        </row>
        <row r="1229">
          <cell r="A1229" t="str">
            <v>Always_OnSASearch</v>
          </cell>
          <cell r="B1229">
            <v>45460</v>
          </cell>
          <cell r="C1229">
            <v>45460</v>
          </cell>
          <cell r="D1229" t="str">
            <v>Always_On</v>
          </cell>
          <cell r="E1229" t="str">
            <v>SA</v>
          </cell>
          <cell r="F1229" t="str">
            <v>Search</v>
          </cell>
          <cell r="G1229">
            <v>3186</v>
          </cell>
          <cell r="H1229">
            <v>35664</v>
          </cell>
          <cell r="I1229">
            <v>30681</v>
          </cell>
          <cell r="J1229">
            <v>942</v>
          </cell>
        </row>
        <row r="1230">
          <cell r="A1230" t="str">
            <v>Always_OnEGYouTube</v>
          </cell>
          <cell r="B1230">
            <v>45460</v>
          </cell>
          <cell r="C1230">
            <v>45460</v>
          </cell>
          <cell r="D1230" t="str">
            <v>Always_On</v>
          </cell>
          <cell r="E1230" t="str">
            <v>EG</v>
          </cell>
          <cell r="F1230" t="str">
            <v>YouTube</v>
          </cell>
          <cell r="G1230">
            <v>3269</v>
          </cell>
          <cell r="H1230">
            <v>284465</v>
          </cell>
          <cell r="I1230">
            <v>105448</v>
          </cell>
          <cell r="J1230">
            <v>375</v>
          </cell>
        </row>
        <row r="1231">
          <cell r="A1231" t="str">
            <v>Always_OnEGSocial</v>
          </cell>
          <cell r="B1231">
            <v>45460</v>
          </cell>
          <cell r="C1231">
            <v>45460</v>
          </cell>
          <cell r="D1231" t="str">
            <v>Always_On</v>
          </cell>
          <cell r="E1231" t="str">
            <v>EG</v>
          </cell>
          <cell r="F1231" t="str">
            <v>Social</v>
          </cell>
          <cell r="G1231">
            <v>4902</v>
          </cell>
          <cell r="H1231">
            <v>304304</v>
          </cell>
          <cell r="I1231">
            <v>112668</v>
          </cell>
          <cell r="J1231">
            <v>581</v>
          </cell>
        </row>
        <row r="1232">
          <cell r="A1232" t="str">
            <v>Always_OnEGDisplay</v>
          </cell>
          <cell r="B1232">
            <v>45460</v>
          </cell>
          <cell r="C1232">
            <v>45460</v>
          </cell>
          <cell r="D1232" t="str">
            <v>Always_On</v>
          </cell>
          <cell r="E1232" t="str">
            <v>EG</v>
          </cell>
          <cell r="F1232" t="str">
            <v>Display</v>
          </cell>
          <cell r="G1232">
            <v>3142</v>
          </cell>
          <cell r="H1232">
            <v>894418</v>
          </cell>
          <cell r="I1232">
            <v>213872</v>
          </cell>
          <cell r="J1232">
            <v>92</v>
          </cell>
        </row>
        <row r="1233">
          <cell r="A1233" t="str">
            <v>Always_OnEGSearch</v>
          </cell>
          <cell r="B1233">
            <v>45460</v>
          </cell>
          <cell r="C1233">
            <v>45460</v>
          </cell>
          <cell r="D1233" t="str">
            <v>Always_On</v>
          </cell>
          <cell r="E1233" t="str">
            <v>EG</v>
          </cell>
          <cell r="F1233" t="str">
            <v>Search</v>
          </cell>
          <cell r="G1233">
            <v>3457</v>
          </cell>
          <cell r="H1233">
            <v>48805</v>
          </cell>
          <cell r="I1233">
            <v>40939</v>
          </cell>
          <cell r="J1233">
            <v>1058</v>
          </cell>
        </row>
        <row r="1234">
          <cell r="A1234" t="str">
            <v>Always_OnUKYouTube</v>
          </cell>
          <cell r="B1234">
            <v>45467</v>
          </cell>
          <cell r="C1234">
            <v>45467</v>
          </cell>
          <cell r="D1234" t="str">
            <v>Always_On</v>
          </cell>
          <cell r="E1234" t="str">
            <v>UK</v>
          </cell>
          <cell r="F1234" t="str">
            <v>YouTube</v>
          </cell>
          <cell r="G1234">
            <v>6287</v>
          </cell>
          <cell r="H1234">
            <v>514991</v>
          </cell>
          <cell r="I1234">
            <v>210087</v>
          </cell>
          <cell r="J1234">
            <v>202</v>
          </cell>
        </row>
        <row r="1235">
          <cell r="A1235" t="str">
            <v>Always_OnUKSocial</v>
          </cell>
          <cell r="B1235">
            <v>45467</v>
          </cell>
          <cell r="C1235">
            <v>45467</v>
          </cell>
          <cell r="D1235" t="str">
            <v>Always_On</v>
          </cell>
          <cell r="E1235" t="str">
            <v>UK</v>
          </cell>
          <cell r="F1235" t="str">
            <v>Social</v>
          </cell>
          <cell r="G1235">
            <v>5150</v>
          </cell>
          <cell r="H1235">
            <v>385906</v>
          </cell>
          <cell r="I1235">
            <v>133768</v>
          </cell>
          <cell r="J1235">
            <v>178</v>
          </cell>
        </row>
        <row r="1236">
          <cell r="A1236" t="str">
            <v>Always_OnUKDisplay</v>
          </cell>
          <cell r="B1236">
            <v>45467</v>
          </cell>
          <cell r="C1236">
            <v>45467</v>
          </cell>
          <cell r="D1236" t="str">
            <v>Always_On</v>
          </cell>
          <cell r="E1236" t="str">
            <v>UK</v>
          </cell>
          <cell r="F1236" t="str">
            <v>Display</v>
          </cell>
          <cell r="G1236">
            <v>2628</v>
          </cell>
          <cell r="H1236">
            <v>719960</v>
          </cell>
          <cell r="I1236">
            <v>149983</v>
          </cell>
          <cell r="J1236">
            <v>23</v>
          </cell>
        </row>
        <row r="1237">
          <cell r="A1237" t="str">
            <v>Always_OnUKSearch</v>
          </cell>
          <cell r="B1237">
            <v>45467</v>
          </cell>
          <cell r="C1237">
            <v>45467</v>
          </cell>
          <cell r="D1237" t="str">
            <v>Always_On</v>
          </cell>
          <cell r="E1237" t="str">
            <v>UK</v>
          </cell>
          <cell r="F1237" t="str">
            <v>Search</v>
          </cell>
          <cell r="G1237">
            <v>3785</v>
          </cell>
          <cell r="H1237">
            <v>55897</v>
          </cell>
          <cell r="I1237">
            <v>48988</v>
          </cell>
          <cell r="J1237">
            <v>338</v>
          </cell>
        </row>
        <row r="1238">
          <cell r="A1238" t="str">
            <v>Always_OnDEYouTube</v>
          </cell>
          <cell r="B1238">
            <v>45467</v>
          </cell>
          <cell r="C1238">
            <v>45467</v>
          </cell>
          <cell r="D1238" t="str">
            <v>Always_On</v>
          </cell>
          <cell r="E1238" t="str">
            <v>DE</v>
          </cell>
          <cell r="F1238" t="str">
            <v>YouTube</v>
          </cell>
          <cell r="G1238">
            <v>4987</v>
          </cell>
          <cell r="H1238">
            <v>316271</v>
          </cell>
          <cell r="I1238">
            <v>128109</v>
          </cell>
          <cell r="J1238">
            <v>152</v>
          </cell>
        </row>
        <row r="1239">
          <cell r="A1239" t="str">
            <v>Always_OnDESocial</v>
          </cell>
          <cell r="B1239">
            <v>45467</v>
          </cell>
          <cell r="C1239">
            <v>45467</v>
          </cell>
          <cell r="D1239" t="str">
            <v>Always_On</v>
          </cell>
          <cell r="E1239" t="str">
            <v>DE</v>
          </cell>
          <cell r="F1239" t="str">
            <v>Social</v>
          </cell>
          <cell r="G1239">
            <v>3290</v>
          </cell>
          <cell r="H1239">
            <v>274534</v>
          </cell>
          <cell r="I1239">
            <v>104854</v>
          </cell>
          <cell r="J1239">
            <v>114</v>
          </cell>
        </row>
        <row r="1240">
          <cell r="A1240" t="str">
            <v>Always_OnDEDisplay</v>
          </cell>
          <cell r="B1240">
            <v>45467</v>
          </cell>
          <cell r="C1240">
            <v>45467</v>
          </cell>
          <cell r="D1240" t="str">
            <v>Always_On</v>
          </cell>
          <cell r="E1240" t="str">
            <v>DE</v>
          </cell>
          <cell r="F1240" t="str">
            <v>Display</v>
          </cell>
          <cell r="G1240">
            <v>4447</v>
          </cell>
          <cell r="H1240">
            <v>1175830</v>
          </cell>
          <cell r="I1240">
            <v>261421</v>
          </cell>
          <cell r="J1240">
            <v>34</v>
          </cell>
        </row>
        <row r="1241">
          <cell r="A1241" t="str">
            <v>Always_OnDESearch</v>
          </cell>
          <cell r="B1241">
            <v>45467</v>
          </cell>
          <cell r="C1241">
            <v>45467</v>
          </cell>
          <cell r="D1241" t="str">
            <v>Always_On</v>
          </cell>
          <cell r="E1241" t="str">
            <v>DE</v>
          </cell>
          <cell r="F1241" t="str">
            <v>Search</v>
          </cell>
          <cell r="G1241">
            <v>5720</v>
          </cell>
          <cell r="H1241">
            <v>80391</v>
          </cell>
          <cell r="I1241">
            <v>70420</v>
          </cell>
          <cell r="J1241">
            <v>488</v>
          </cell>
        </row>
        <row r="1242">
          <cell r="A1242" t="str">
            <v>Always_OnSAYouTube</v>
          </cell>
          <cell r="B1242">
            <v>45467</v>
          </cell>
          <cell r="C1242">
            <v>45467</v>
          </cell>
          <cell r="D1242" t="str">
            <v>Always_On</v>
          </cell>
          <cell r="E1242" t="str">
            <v>SA</v>
          </cell>
          <cell r="F1242" t="str">
            <v>YouTube</v>
          </cell>
          <cell r="G1242">
            <v>4976</v>
          </cell>
          <cell r="H1242">
            <v>271720</v>
          </cell>
          <cell r="I1242">
            <v>133172</v>
          </cell>
          <cell r="J1242">
            <v>635</v>
          </cell>
        </row>
        <row r="1243">
          <cell r="A1243" t="str">
            <v>Always_OnSASocial</v>
          </cell>
          <cell r="B1243">
            <v>45467</v>
          </cell>
          <cell r="C1243">
            <v>45467</v>
          </cell>
          <cell r="D1243" t="str">
            <v>Always_On</v>
          </cell>
          <cell r="E1243" t="str">
            <v>SA</v>
          </cell>
          <cell r="F1243" t="str">
            <v>Social</v>
          </cell>
          <cell r="G1243">
            <v>4599</v>
          </cell>
          <cell r="H1243">
            <v>372607</v>
          </cell>
          <cell r="I1243">
            <v>175965</v>
          </cell>
          <cell r="J1243">
            <v>632</v>
          </cell>
        </row>
        <row r="1244">
          <cell r="A1244" t="str">
            <v>Always_OnSADisplay</v>
          </cell>
          <cell r="B1244">
            <v>45467</v>
          </cell>
          <cell r="C1244">
            <v>45467</v>
          </cell>
          <cell r="D1244" t="str">
            <v>Always_On</v>
          </cell>
          <cell r="E1244" t="str">
            <v>SA</v>
          </cell>
          <cell r="F1244" t="str">
            <v>Display</v>
          </cell>
          <cell r="G1244">
            <v>1710</v>
          </cell>
          <cell r="H1244">
            <v>474378</v>
          </cell>
          <cell r="I1244">
            <v>93027</v>
          </cell>
          <cell r="J1244">
            <v>52</v>
          </cell>
        </row>
        <row r="1245">
          <cell r="A1245" t="str">
            <v>Always_OnSASearch</v>
          </cell>
          <cell r="B1245">
            <v>45467</v>
          </cell>
          <cell r="C1245">
            <v>45467</v>
          </cell>
          <cell r="D1245" t="str">
            <v>Always_On</v>
          </cell>
          <cell r="E1245" t="str">
            <v>SA</v>
          </cell>
          <cell r="F1245" t="str">
            <v>Search</v>
          </cell>
          <cell r="G1245">
            <v>2816</v>
          </cell>
          <cell r="H1245">
            <v>28340</v>
          </cell>
          <cell r="I1245">
            <v>25052</v>
          </cell>
          <cell r="J1245">
            <v>804</v>
          </cell>
        </row>
        <row r="1246">
          <cell r="A1246" t="str">
            <v>Always_OnEGYouTube</v>
          </cell>
          <cell r="B1246">
            <v>45467</v>
          </cell>
          <cell r="C1246">
            <v>45467</v>
          </cell>
          <cell r="D1246" t="str">
            <v>Always_On</v>
          </cell>
          <cell r="E1246" t="str">
            <v>EG</v>
          </cell>
          <cell r="F1246" t="str">
            <v>YouTube</v>
          </cell>
          <cell r="G1246">
            <v>4235</v>
          </cell>
          <cell r="H1246">
            <v>358435</v>
          </cell>
          <cell r="I1246">
            <v>128595</v>
          </cell>
          <cell r="J1246">
            <v>529</v>
          </cell>
        </row>
        <row r="1247">
          <cell r="A1247" t="str">
            <v>Always_OnEGSocial</v>
          </cell>
          <cell r="B1247">
            <v>45467</v>
          </cell>
          <cell r="C1247">
            <v>45467</v>
          </cell>
          <cell r="D1247" t="str">
            <v>Always_On</v>
          </cell>
          <cell r="E1247" t="str">
            <v>EG</v>
          </cell>
          <cell r="F1247" t="str">
            <v>Social</v>
          </cell>
          <cell r="G1247">
            <v>2362</v>
          </cell>
          <cell r="H1247">
            <v>166516</v>
          </cell>
          <cell r="I1247">
            <v>67514</v>
          </cell>
          <cell r="J1247">
            <v>276</v>
          </cell>
        </row>
        <row r="1248">
          <cell r="A1248" t="str">
            <v>Always_OnEGDisplay</v>
          </cell>
          <cell r="B1248">
            <v>45467</v>
          </cell>
          <cell r="C1248">
            <v>45467</v>
          </cell>
          <cell r="D1248" t="str">
            <v>Always_On</v>
          </cell>
          <cell r="E1248" t="str">
            <v>EG</v>
          </cell>
          <cell r="F1248" t="str">
            <v>Display</v>
          </cell>
          <cell r="G1248">
            <v>1538</v>
          </cell>
          <cell r="H1248">
            <v>337721</v>
          </cell>
          <cell r="I1248">
            <v>73471</v>
          </cell>
          <cell r="J1248">
            <v>44</v>
          </cell>
        </row>
        <row r="1249">
          <cell r="A1249" t="str">
            <v>Always_OnEGSearch</v>
          </cell>
          <cell r="B1249">
            <v>45467</v>
          </cell>
          <cell r="C1249">
            <v>45467</v>
          </cell>
          <cell r="D1249" t="str">
            <v>Always_On</v>
          </cell>
          <cell r="E1249" t="str">
            <v>EG</v>
          </cell>
          <cell r="F1249" t="str">
            <v>Search</v>
          </cell>
          <cell r="G1249">
            <v>2641</v>
          </cell>
          <cell r="H1249">
            <v>38702</v>
          </cell>
          <cell r="I1249">
            <v>32785</v>
          </cell>
          <cell r="J1249">
            <v>812</v>
          </cell>
        </row>
        <row r="1250">
          <cell r="A1250" t="str">
            <v>Always_OnUKYouTube</v>
          </cell>
          <cell r="B1250">
            <v>45474</v>
          </cell>
          <cell r="C1250">
            <v>45474</v>
          </cell>
          <cell r="D1250" t="str">
            <v>Always_On</v>
          </cell>
          <cell r="E1250" t="str">
            <v>UK</v>
          </cell>
          <cell r="F1250" t="str">
            <v>YouTube</v>
          </cell>
          <cell r="G1250">
            <v>2993</v>
          </cell>
          <cell r="H1250">
            <v>244055</v>
          </cell>
          <cell r="I1250">
            <v>92377</v>
          </cell>
          <cell r="J1250">
            <v>93</v>
          </cell>
        </row>
        <row r="1251">
          <cell r="A1251" t="str">
            <v>Always_OnUKSocial</v>
          </cell>
          <cell r="B1251">
            <v>45474</v>
          </cell>
          <cell r="C1251">
            <v>45474</v>
          </cell>
          <cell r="D1251" t="str">
            <v>Always_On</v>
          </cell>
          <cell r="E1251" t="str">
            <v>UK</v>
          </cell>
          <cell r="F1251" t="str">
            <v>Social</v>
          </cell>
          <cell r="G1251">
            <v>7251</v>
          </cell>
          <cell r="H1251">
            <v>585350</v>
          </cell>
          <cell r="I1251">
            <v>267056</v>
          </cell>
          <cell r="J1251">
            <v>236</v>
          </cell>
        </row>
        <row r="1252">
          <cell r="A1252" t="str">
            <v>Always_OnUKDisplay</v>
          </cell>
          <cell r="B1252">
            <v>45474</v>
          </cell>
          <cell r="C1252">
            <v>45474</v>
          </cell>
          <cell r="D1252" t="str">
            <v>Always_On</v>
          </cell>
          <cell r="E1252" t="str">
            <v>UK</v>
          </cell>
          <cell r="F1252" t="str">
            <v>Display</v>
          </cell>
          <cell r="G1252">
            <v>2554</v>
          </cell>
          <cell r="H1252">
            <v>592441</v>
          </cell>
          <cell r="I1252">
            <v>99972</v>
          </cell>
          <cell r="J1252">
            <v>20</v>
          </cell>
        </row>
        <row r="1253">
          <cell r="A1253" t="str">
            <v>Always_OnUKSearch</v>
          </cell>
          <cell r="B1253">
            <v>45474</v>
          </cell>
          <cell r="C1253">
            <v>45474</v>
          </cell>
          <cell r="D1253" t="str">
            <v>Always_On</v>
          </cell>
          <cell r="E1253" t="str">
            <v>UK</v>
          </cell>
          <cell r="F1253" t="str">
            <v>Search</v>
          </cell>
          <cell r="G1253">
            <v>5733</v>
          </cell>
          <cell r="H1253">
            <v>60787</v>
          </cell>
          <cell r="I1253">
            <v>50961</v>
          </cell>
          <cell r="J1253">
            <v>466</v>
          </cell>
        </row>
        <row r="1254">
          <cell r="A1254" t="str">
            <v>Always_OnDEYouTube</v>
          </cell>
          <cell r="B1254">
            <v>45474</v>
          </cell>
          <cell r="C1254">
            <v>45474</v>
          </cell>
          <cell r="D1254" t="str">
            <v>Always_On</v>
          </cell>
          <cell r="E1254" t="str">
            <v>DE</v>
          </cell>
          <cell r="F1254" t="str">
            <v>YouTube</v>
          </cell>
          <cell r="G1254">
            <v>3283</v>
          </cell>
          <cell r="H1254">
            <v>228984</v>
          </cell>
          <cell r="I1254">
            <v>95076</v>
          </cell>
          <cell r="J1254">
            <v>115</v>
          </cell>
        </row>
        <row r="1255">
          <cell r="A1255" t="str">
            <v>Always_OnDESocial</v>
          </cell>
          <cell r="B1255">
            <v>45474</v>
          </cell>
          <cell r="C1255">
            <v>45474</v>
          </cell>
          <cell r="D1255" t="str">
            <v>Always_On</v>
          </cell>
          <cell r="E1255" t="str">
            <v>DE</v>
          </cell>
          <cell r="F1255" t="str">
            <v>Social</v>
          </cell>
          <cell r="G1255">
            <v>5567</v>
          </cell>
          <cell r="H1255">
            <v>341138</v>
          </cell>
          <cell r="I1255">
            <v>139471</v>
          </cell>
          <cell r="J1255">
            <v>196</v>
          </cell>
        </row>
        <row r="1256">
          <cell r="A1256" t="str">
            <v>Always_OnDEDisplay</v>
          </cell>
          <cell r="B1256">
            <v>45474</v>
          </cell>
          <cell r="C1256">
            <v>45474</v>
          </cell>
          <cell r="D1256" t="str">
            <v>Always_On</v>
          </cell>
          <cell r="E1256" t="str">
            <v>DE</v>
          </cell>
          <cell r="F1256" t="str">
            <v>Display</v>
          </cell>
          <cell r="G1256">
            <v>4222</v>
          </cell>
          <cell r="H1256">
            <v>1145216</v>
          </cell>
          <cell r="I1256">
            <v>248857</v>
          </cell>
          <cell r="J1256">
            <v>33</v>
          </cell>
        </row>
        <row r="1257">
          <cell r="A1257" t="str">
            <v>Always_OnDESearch</v>
          </cell>
          <cell r="B1257">
            <v>45474</v>
          </cell>
          <cell r="C1257">
            <v>45474</v>
          </cell>
          <cell r="D1257" t="str">
            <v>Always_On</v>
          </cell>
          <cell r="E1257" t="str">
            <v>DE</v>
          </cell>
          <cell r="F1257" t="str">
            <v>Search</v>
          </cell>
          <cell r="G1257">
            <v>3544</v>
          </cell>
          <cell r="H1257">
            <v>42036</v>
          </cell>
          <cell r="I1257">
            <v>36807</v>
          </cell>
          <cell r="J1257">
            <v>308</v>
          </cell>
        </row>
        <row r="1258">
          <cell r="A1258" t="str">
            <v>Always_OnSAYouTube</v>
          </cell>
          <cell r="B1258">
            <v>45474</v>
          </cell>
          <cell r="C1258">
            <v>45474</v>
          </cell>
          <cell r="D1258" t="str">
            <v>Always_On</v>
          </cell>
          <cell r="E1258" t="str">
            <v>SA</v>
          </cell>
          <cell r="F1258" t="str">
            <v>YouTube</v>
          </cell>
          <cell r="G1258">
            <v>2227</v>
          </cell>
          <cell r="H1258">
            <v>135738</v>
          </cell>
          <cell r="I1258">
            <v>57354</v>
          </cell>
          <cell r="J1258">
            <v>258</v>
          </cell>
        </row>
        <row r="1259">
          <cell r="A1259" t="str">
            <v>Always_OnSASocial</v>
          </cell>
          <cell r="B1259">
            <v>45474</v>
          </cell>
          <cell r="C1259">
            <v>45474</v>
          </cell>
          <cell r="D1259" t="str">
            <v>Always_On</v>
          </cell>
          <cell r="E1259" t="str">
            <v>SA</v>
          </cell>
          <cell r="F1259" t="str">
            <v>Social</v>
          </cell>
          <cell r="G1259">
            <v>2314</v>
          </cell>
          <cell r="H1259">
            <v>138679</v>
          </cell>
          <cell r="I1259">
            <v>64566</v>
          </cell>
          <cell r="J1259">
            <v>284</v>
          </cell>
        </row>
        <row r="1260">
          <cell r="A1260" t="str">
            <v>Always_OnSADisplay</v>
          </cell>
          <cell r="B1260">
            <v>45474</v>
          </cell>
          <cell r="C1260">
            <v>45474</v>
          </cell>
          <cell r="D1260" t="str">
            <v>Always_On</v>
          </cell>
          <cell r="E1260" t="str">
            <v>SA</v>
          </cell>
          <cell r="F1260" t="str">
            <v>Display</v>
          </cell>
          <cell r="G1260">
            <v>2165</v>
          </cell>
          <cell r="H1260">
            <v>579346</v>
          </cell>
          <cell r="I1260">
            <v>138658</v>
          </cell>
          <cell r="J1260">
            <v>68</v>
          </cell>
        </row>
        <row r="1261">
          <cell r="A1261" t="str">
            <v>Always_OnSASearch</v>
          </cell>
          <cell r="B1261">
            <v>45474</v>
          </cell>
          <cell r="C1261">
            <v>45474</v>
          </cell>
          <cell r="D1261" t="str">
            <v>Always_On</v>
          </cell>
          <cell r="E1261" t="str">
            <v>SA</v>
          </cell>
          <cell r="F1261" t="str">
            <v>Search</v>
          </cell>
          <cell r="G1261">
            <v>3500</v>
          </cell>
          <cell r="H1261">
            <v>37364</v>
          </cell>
          <cell r="I1261">
            <v>33442</v>
          </cell>
          <cell r="J1261">
            <v>1087</v>
          </cell>
        </row>
        <row r="1262">
          <cell r="A1262" t="str">
            <v>Always_OnEGYouTube</v>
          </cell>
          <cell r="B1262">
            <v>45474</v>
          </cell>
          <cell r="C1262">
            <v>45474</v>
          </cell>
          <cell r="D1262" t="str">
            <v>Always_On</v>
          </cell>
          <cell r="E1262" t="str">
            <v>EG</v>
          </cell>
          <cell r="F1262" t="str">
            <v>YouTube</v>
          </cell>
          <cell r="G1262">
            <v>2652</v>
          </cell>
          <cell r="H1262">
            <v>147266</v>
          </cell>
          <cell r="I1262">
            <v>56256</v>
          </cell>
          <cell r="J1262">
            <v>341</v>
          </cell>
        </row>
        <row r="1263">
          <cell r="A1263" t="str">
            <v>Always_OnEGSocial</v>
          </cell>
          <cell r="B1263">
            <v>45474</v>
          </cell>
          <cell r="C1263">
            <v>45474</v>
          </cell>
          <cell r="D1263" t="str">
            <v>Always_On</v>
          </cell>
          <cell r="E1263" t="str">
            <v>EG</v>
          </cell>
          <cell r="F1263" t="str">
            <v>Social</v>
          </cell>
          <cell r="G1263">
            <v>3303</v>
          </cell>
          <cell r="H1263">
            <v>242401</v>
          </cell>
          <cell r="I1263">
            <v>104029</v>
          </cell>
          <cell r="J1263">
            <v>452</v>
          </cell>
        </row>
        <row r="1264">
          <cell r="A1264" t="str">
            <v>Always_OnEGDisplay</v>
          </cell>
          <cell r="B1264">
            <v>45474</v>
          </cell>
          <cell r="C1264">
            <v>45474</v>
          </cell>
          <cell r="D1264" t="str">
            <v>Always_On</v>
          </cell>
          <cell r="E1264" t="str">
            <v>EG</v>
          </cell>
          <cell r="F1264" t="str">
            <v>Display</v>
          </cell>
          <cell r="G1264">
            <v>2813</v>
          </cell>
          <cell r="H1264">
            <v>741269</v>
          </cell>
          <cell r="I1264">
            <v>146520</v>
          </cell>
          <cell r="J1264">
            <v>82</v>
          </cell>
        </row>
        <row r="1265">
          <cell r="A1265" t="str">
            <v>Always_OnEGSearch</v>
          </cell>
          <cell r="B1265">
            <v>45474</v>
          </cell>
          <cell r="C1265">
            <v>45474</v>
          </cell>
          <cell r="D1265" t="str">
            <v>Always_On</v>
          </cell>
          <cell r="E1265" t="str">
            <v>EG</v>
          </cell>
          <cell r="F1265" t="str">
            <v>Search</v>
          </cell>
          <cell r="G1265">
            <v>4926</v>
          </cell>
          <cell r="H1265">
            <v>70922</v>
          </cell>
          <cell r="I1265">
            <v>59350</v>
          </cell>
          <cell r="J1265">
            <v>1428</v>
          </cell>
        </row>
        <row r="1266">
          <cell r="A1266" t="str">
            <v>Always_OnUKYouTube</v>
          </cell>
          <cell r="B1266">
            <v>45481</v>
          </cell>
          <cell r="C1266">
            <v>45481</v>
          </cell>
          <cell r="D1266" t="str">
            <v>Always_On</v>
          </cell>
          <cell r="E1266" t="str">
            <v>UK</v>
          </cell>
          <cell r="F1266" t="str">
            <v>YouTube</v>
          </cell>
          <cell r="G1266">
            <v>7642</v>
          </cell>
          <cell r="H1266">
            <v>490651</v>
          </cell>
          <cell r="I1266">
            <v>230184</v>
          </cell>
          <cell r="J1266">
            <v>241</v>
          </cell>
        </row>
        <row r="1267">
          <cell r="A1267" t="str">
            <v>Always_OnUKSocial</v>
          </cell>
          <cell r="B1267">
            <v>45481</v>
          </cell>
          <cell r="C1267">
            <v>45481</v>
          </cell>
          <cell r="D1267" t="str">
            <v>Always_On</v>
          </cell>
          <cell r="E1267" t="str">
            <v>UK</v>
          </cell>
          <cell r="F1267" t="str">
            <v>Social</v>
          </cell>
          <cell r="G1267">
            <v>6739</v>
          </cell>
          <cell r="H1267">
            <v>539944</v>
          </cell>
          <cell r="I1267">
            <v>203157</v>
          </cell>
          <cell r="J1267">
            <v>214</v>
          </cell>
        </row>
        <row r="1268">
          <cell r="A1268" t="str">
            <v>Always_OnUKDisplay</v>
          </cell>
          <cell r="B1268">
            <v>45481</v>
          </cell>
          <cell r="C1268">
            <v>45481</v>
          </cell>
          <cell r="D1268" t="str">
            <v>Always_On</v>
          </cell>
          <cell r="E1268" t="str">
            <v>UK</v>
          </cell>
          <cell r="F1268" t="str">
            <v>Display</v>
          </cell>
          <cell r="G1268">
            <v>3582</v>
          </cell>
          <cell r="H1268">
            <v>756666</v>
          </cell>
          <cell r="I1268">
            <v>148751</v>
          </cell>
          <cell r="J1268">
            <v>31</v>
          </cell>
        </row>
        <row r="1269">
          <cell r="A1269" t="str">
            <v>Always_OnUKSearch</v>
          </cell>
          <cell r="B1269">
            <v>45481</v>
          </cell>
          <cell r="C1269">
            <v>45481</v>
          </cell>
          <cell r="D1269" t="str">
            <v>Always_On</v>
          </cell>
          <cell r="E1269" t="str">
            <v>UK</v>
          </cell>
          <cell r="F1269" t="str">
            <v>Search</v>
          </cell>
          <cell r="G1269">
            <v>5598</v>
          </cell>
          <cell r="H1269">
            <v>62295</v>
          </cell>
          <cell r="I1269">
            <v>54311</v>
          </cell>
          <cell r="J1269">
            <v>498</v>
          </cell>
        </row>
        <row r="1270">
          <cell r="A1270" t="str">
            <v>Always_OnDEYouTube</v>
          </cell>
          <cell r="B1270">
            <v>45481</v>
          </cell>
          <cell r="C1270">
            <v>45481</v>
          </cell>
          <cell r="D1270" t="str">
            <v>Always_On</v>
          </cell>
          <cell r="E1270" t="str">
            <v>DE</v>
          </cell>
          <cell r="F1270" t="str">
            <v>YouTube</v>
          </cell>
          <cell r="G1270">
            <v>4346</v>
          </cell>
          <cell r="H1270">
            <v>296601</v>
          </cell>
          <cell r="I1270">
            <v>105329</v>
          </cell>
          <cell r="J1270">
            <v>157</v>
          </cell>
        </row>
        <row r="1271">
          <cell r="A1271" t="str">
            <v>Always_OnDESocial</v>
          </cell>
          <cell r="B1271">
            <v>45481</v>
          </cell>
          <cell r="C1271">
            <v>45481</v>
          </cell>
          <cell r="D1271" t="str">
            <v>Always_On</v>
          </cell>
          <cell r="E1271" t="str">
            <v>DE</v>
          </cell>
          <cell r="F1271" t="str">
            <v>Social</v>
          </cell>
          <cell r="G1271">
            <v>5500</v>
          </cell>
          <cell r="H1271">
            <v>339829</v>
          </cell>
          <cell r="I1271">
            <v>123358</v>
          </cell>
          <cell r="J1271">
            <v>199</v>
          </cell>
        </row>
        <row r="1272">
          <cell r="A1272" t="str">
            <v>Always_OnDEDisplay</v>
          </cell>
          <cell r="B1272">
            <v>45481</v>
          </cell>
          <cell r="C1272">
            <v>45481</v>
          </cell>
          <cell r="D1272" t="str">
            <v>Always_On</v>
          </cell>
          <cell r="E1272" t="str">
            <v>DE</v>
          </cell>
          <cell r="F1272" t="str">
            <v>Display</v>
          </cell>
          <cell r="G1272">
            <v>3093</v>
          </cell>
          <cell r="H1272">
            <v>683096</v>
          </cell>
          <cell r="I1272">
            <v>128815</v>
          </cell>
          <cell r="J1272">
            <v>26</v>
          </cell>
        </row>
        <row r="1273">
          <cell r="A1273" t="str">
            <v>Always_OnDESearch</v>
          </cell>
          <cell r="B1273">
            <v>45481</v>
          </cell>
          <cell r="C1273">
            <v>45481</v>
          </cell>
          <cell r="D1273" t="str">
            <v>Always_On</v>
          </cell>
          <cell r="E1273" t="str">
            <v>DE</v>
          </cell>
          <cell r="F1273" t="str">
            <v>Search</v>
          </cell>
          <cell r="G1273">
            <v>5569</v>
          </cell>
          <cell r="H1273">
            <v>76614</v>
          </cell>
          <cell r="I1273">
            <v>68764</v>
          </cell>
          <cell r="J1273">
            <v>423</v>
          </cell>
        </row>
        <row r="1274">
          <cell r="A1274" t="str">
            <v>Always_OnSAYouTube</v>
          </cell>
          <cell r="B1274">
            <v>45481</v>
          </cell>
          <cell r="C1274">
            <v>45481</v>
          </cell>
          <cell r="D1274" t="str">
            <v>Always_On</v>
          </cell>
          <cell r="E1274" t="str">
            <v>SA</v>
          </cell>
          <cell r="F1274" t="str">
            <v>YouTube</v>
          </cell>
          <cell r="G1274">
            <v>3131</v>
          </cell>
          <cell r="H1274">
            <v>208379</v>
          </cell>
          <cell r="I1274">
            <v>70759</v>
          </cell>
          <cell r="J1274">
            <v>395</v>
          </cell>
        </row>
        <row r="1275">
          <cell r="A1275" t="str">
            <v>Always_OnSASocial</v>
          </cell>
          <cell r="B1275">
            <v>45481</v>
          </cell>
          <cell r="C1275">
            <v>45481</v>
          </cell>
          <cell r="D1275" t="str">
            <v>Always_On</v>
          </cell>
          <cell r="E1275" t="str">
            <v>SA</v>
          </cell>
          <cell r="F1275" t="str">
            <v>Social</v>
          </cell>
          <cell r="G1275">
            <v>4151</v>
          </cell>
          <cell r="H1275">
            <v>226783</v>
          </cell>
          <cell r="I1275">
            <v>82998</v>
          </cell>
          <cell r="J1275">
            <v>535</v>
          </cell>
        </row>
        <row r="1276">
          <cell r="A1276" t="str">
            <v>Always_OnSADisplay</v>
          </cell>
          <cell r="B1276">
            <v>45481</v>
          </cell>
          <cell r="C1276">
            <v>45481</v>
          </cell>
          <cell r="D1276" t="str">
            <v>Always_On</v>
          </cell>
          <cell r="E1276" t="str">
            <v>SA</v>
          </cell>
          <cell r="F1276" t="str">
            <v>Display</v>
          </cell>
          <cell r="G1276">
            <v>1278</v>
          </cell>
          <cell r="H1276">
            <v>360908</v>
          </cell>
          <cell r="I1276">
            <v>74146</v>
          </cell>
          <cell r="J1276">
            <v>38</v>
          </cell>
        </row>
        <row r="1277">
          <cell r="A1277" t="str">
            <v>Always_OnSASearch</v>
          </cell>
          <cell r="B1277">
            <v>45481</v>
          </cell>
          <cell r="C1277">
            <v>45481</v>
          </cell>
          <cell r="D1277" t="str">
            <v>Always_On</v>
          </cell>
          <cell r="E1277" t="str">
            <v>SA</v>
          </cell>
          <cell r="F1277" t="str">
            <v>Search</v>
          </cell>
          <cell r="G1277">
            <v>2696</v>
          </cell>
          <cell r="H1277">
            <v>29709</v>
          </cell>
          <cell r="I1277">
            <v>24792</v>
          </cell>
          <cell r="J1277">
            <v>844</v>
          </cell>
        </row>
        <row r="1278">
          <cell r="A1278" t="str">
            <v>Always_OnEGYouTube</v>
          </cell>
          <cell r="B1278">
            <v>45481</v>
          </cell>
          <cell r="C1278">
            <v>45481</v>
          </cell>
          <cell r="D1278" t="str">
            <v>Always_On</v>
          </cell>
          <cell r="E1278" t="str">
            <v>EG</v>
          </cell>
          <cell r="F1278" t="str">
            <v>YouTube</v>
          </cell>
          <cell r="G1278">
            <v>3209</v>
          </cell>
          <cell r="H1278">
            <v>270455</v>
          </cell>
          <cell r="I1278">
            <v>90309</v>
          </cell>
          <cell r="J1278">
            <v>377</v>
          </cell>
        </row>
        <row r="1279">
          <cell r="A1279" t="str">
            <v>Always_OnEGSocial</v>
          </cell>
          <cell r="B1279">
            <v>45481</v>
          </cell>
          <cell r="C1279">
            <v>45481</v>
          </cell>
          <cell r="D1279" t="str">
            <v>Always_On</v>
          </cell>
          <cell r="E1279" t="str">
            <v>EG</v>
          </cell>
          <cell r="F1279" t="str">
            <v>Social</v>
          </cell>
          <cell r="G1279">
            <v>2714</v>
          </cell>
          <cell r="H1279">
            <v>223097</v>
          </cell>
          <cell r="I1279">
            <v>86426</v>
          </cell>
          <cell r="J1279">
            <v>364</v>
          </cell>
        </row>
        <row r="1280">
          <cell r="A1280" t="str">
            <v>Always_OnEGDisplay</v>
          </cell>
          <cell r="B1280">
            <v>45481</v>
          </cell>
          <cell r="C1280">
            <v>45481</v>
          </cell>
          <cell r="D1280" t="str">
            <v>Always_On</v>
          </cell>
          <cell r="E1280" t="str">
            <v>EG</v>
          </cell>
          <cell r="F1280" t="str">
            <v>Display</v>
          </cell>
          <cell r="G1280">
            <v>2029</v>
          </cell>
          <cell r="H1280">
            <v>488707</v>
          </cell>
          <cell r="I1280">
            <v>83784</v>
          </cell>
          <cell r="J1280">
            <v>57</v>
          </cell>
        </row>
        <row r="1281">
          <cell r="A1281" t="str">
            <v>Always_OnEGSearch</v>
          </cell>
          <cell r="B1281">
            <v>45481</v>
          </cell>
          <cell r="C1281">
            <v>45481</v>
          </cell>
          <cell r="D1281" t="str">
            <v>Always_On</v>
          </cell>
          <cell r="E1281" t="str">
            <v>EG</v>
          </cell>
          <cell r="F1281" t="str">
            <v>Search</v>
          </cell>
          <cell r="G1281">
            <v>2434</v>
          </cell>
          <cell r="H1281">
            <v>25191</v>
          </cell>
          <cell r="I1281">
            <v>22895</v>
          </cell>
          <cell r="J1281">
            <v>842</v>
          </cell>
        </row>
        <row r="1282">
          <cell r="A1282" t="str">
            <v>Always_OnUKYouTube</v>
          </cell>
          <cell r="B1282">
            <v>45488</v>
          </cell>
          <cell r="C1282">
            <v>45488</v>
          </cell>
          <cell r="D1282" t="str">
            <v>Always_On</v>
          </cell>
          <cell r="E1282" t="str">
            <v>UK</v>
          </cell>
          <cell r="F1282" t="str">
            <v>YouTube</v>
          </cell>
          <cell r="G1282">
            <v>6036</v>
          </cell>
          <cell r="H1282">
            <v>452547</v>
          </cell>
          <cell r="I1282">
            <v>208123</v>
          </cell>
          <cell r="J1282">
            <v>202</v>
          </cell>
        </row>
        <row r="1283">
          <cell r="A1283" t="str">
            <v>Always_OnUKSocial</v>
          </cell>
          <cell r="B1283">
            <v>45488</v>
          </cell>
          <cell r="C1283">
            <v>45488</v>
          </cell>
          <cell r="D1283" t="str">
            <v>Always_On</v>
          </cell>
          <cell r="E1283" t="str">
            <v>UK</v>
          </cell>
          <cell r="F1283" t="str">
            <v>Social</v>
          </cell>
          <cell r="G1283">
            <v>4865</v>
          </cell>
          <cell r="H1283">
            <v>314660</v>
          </cell>
          <cell r="I1283">
            <v>106035</v>
          </cell>
          <cell r="J1283">
            <v>171</v>
          </cell>
        </row>
        <row r="1284">
          <cell r="A1284" t="str">
            <v>Always_OnUKDisplay</v>
          </cell>
          <cell r="B1284">
            <v>45488</v>
          </cell>
          <cell r="C1284">
            <v>45488</v>
          </cell>
          <cell r="D1284" t="str">
            <v>Always_On</v>
          </cell>
          <cell r="E1284" t="str">
            <v>UK</v>
          </cell>
          <cell r="F1284" t="str">
            <v>Display</v>
          </cell>
          <cell r="G1284">
            <v>1947</v>
          </cell>
          <cell r="H1284">
            <v>409349</v>
          </cell>
          <cell r="I1284">
            <v>81688</v>
          </cell>
          <cell r="J1284">
            <v>17</v>
          </cell>
        </row>
        <row r="1285">
          <cell r="A1285" t="str">
            <v>Always_OnUKSearch</v>
          </cell>
          <cell r="B1285">
            <v>45488</v>
          </cell>
          <cell r="C1285">
            <v>45488</v>
          </cell>
          <cell r="D1285" t="str">
            <v>Always_On</v>
          </cell>
          <cell r="E1285" t="str">
            <v>UK</v>
          </cell>
          <cell r="F1285" t="str">
            <v>Search</v>
          </cell>
          <cell r="G1285">
            <v>4535</v>
          </cell>
          <cell r="H1285">
            <v>52800</v>
          </cell>
          <cell r="I1285">
            <v>47971</v>
          </cell>
          <cell r="J1285">
            <v>378</v>
          </cell>
        </row>
        <row r="1286">
          <cell r="A1286" t="str">
            <v>Always_OnDEYouTube</v>
          </cell>
          <cell r="B1286">
            <v>45488</v>
          </cell>
          <cell r="C1286">
            <v>45488</v>
          </cell>
          <cell r="D1286" t="str">
            <v>Always_On</v>
          </cell>
          <cell r="E1286" t="str">
            <v>DE</v>
          </cell>
          <cell r="F1286" t="str">
            <v>YouTube</v>
          </cell>
          <cell r="G1286">
            <v>6102</v>
          </cell>
          <cell r="H1286">
            <v>497993</v>
          </cell>
          <cell r="I1286">
            <v>191120</v>
          </cell>
          <cell r="J1286">
            <v>205</v>
          </cell>
        </row>
        <row r="1287">
          <cell r="A1287" t="str">
            <v>Always_OnDESocial</v>
          </cell>
          <cell r="B1287">
            <v>45488</v>
          </cell>
          <cell r="C1287">
            <v>45488</v>
          </cell>
          <cell r="D1287" t="str">
            <v>Always_On</v>
          </cell>
          <cell r="E1287" t="str">
            <v>DE</v>
          </cell>
          <cell r="F1287" t="str">
            <v>Social</v>
          </cell>
          <cell r="G1287">
            <v>7155</v>
          </cell>
          <cell r="H1287">
            <v>545637</v>
          </cell>
          <cell r="I1287">
            <v>227319</v>
          </cell>
          <cell r="J1287">
            <v>223</v>
          </cell>
        </row>
        <row r="1288">
          <cell r="A1288" t="str">
            <v>Always_OnDEDisplay</v>
          </cell>
          <cell r="B1288">
            <v>45488</v>
          </cell>
          <cell r="C1288">
            <v>45488</v>
          </cell>
          <cell r="D1288" t="str">
            <v>Always_On</v>
          </cell>
          <cell r="E1288" t="str">
            <v>DE</v>
          </cell>
          <cell r="F1288" t="str">
            <v>Display</v>
          </cell>
          <cell r="G1288">
            <v>2169</v>
          </cell>
          <cell r="H1288">
            <v>572912</v>
          </cell>
          <cell r="I1288">
            <v>135651</v>
          </cell>
          <cell r="J1288">
            <v>17</v>
          </cell>
        </row>
        <row r="1289">
          <cell r="A1289" t="str">
            <v>Always_OnDESearch</v>
          </cell>
          <cell r="B1289">
            <v>45488</v>
          </cell>
          <cell r="C1289">
            <v>45488</v>
          </cell>
          <cell r="D1289" t="str">
            <v>Always_On</v>
          </cell>
          <cell r="E1289" t="str">
            <v>DE</v>
          </cell>
          <cell r="F1289" t="str">
            <v>Search</v>
          </cell>
          <cell r="G1289">
            <v>6392</v>
          </cell>
          <cell r="H1289">
            <v>79509</v>
          </cell>
          <cell r="I1289">
            <v>67020</v>
          </cell>
          <cell r="J1289">
            <v>521</v>
          </cell>
        </row>
        <row r="1290">
          <cell r="A1290" t="str">
            <v>Always_OnSAYouTube</v>
          </cell>
          <cell r="B1290">
            <v>45488</v>
          </cell>
          <cell r="C1290">
            <v>45488</v>
          </cell>
          <cell r="D1290" t="str">
            <v>Always_On</v>
          </cell>
          <cell r="E1290" t="str">
            <v>SA</v>
          </cell>
          <cell r="F1290" t="str">
            <v>YouTube</v>
          </cell>
          <cell r="G1290">
            <v>5026</v>
          </cell>
          <cell r="H1290">
            <v>308004</v>
          </cell>
          <cell r="I1290">
            <v>109284</v>
          </cell>
          <cell r="J1290">
            <v>593</v>
          </cell>
        </row>
        <row r="1291">
          <cell r="A1291" t="str">
            <v>Always_OnSASocial</v>
          </cell>
          <cell r="B1291">
            <v>45488</v>
          </cell>
          <cell r="C1291">
            <v>45488</v>
          </cell>
          <cell r="D1291" t="str">
            <v>Always_On</v>
          </cell>
          <cell r="E1291" t="str">
            <v>SA</v>
          </cell>
          <cell r="F1291" t="str">
            <v>Social</v>
          </cell>
          <cell r="G1291">
            <v>3786</v>
          </cell>
          <cell r="H1291">
            <v>306939</v>
          </cell>
          <cell r="I1291">
            <v>137189</v>
          </cell>
          <cell r="J1291">
            <v>491</v>
          </cell>
        </row>
        <row r="1292">
          <cell r="A1292" t="str">
            <v>Always_OnSADisplay</v>
          </cell>
          <cell r="B1292">
            <v>45488</v>
          </cell>
          <cell r="C1292">
            <v>45488</v>
          </cell>
          <cell r="D1292" t="str">
            <v>Always_On</v>
          </cell>
          <cell r="E1292" t="str">
            <v>SA</v>
          </cell>
          <cell r="F1292" t="str">
            <v>Display</v>
          </cell>
          <cell r="G1292">
            <v>3031</v>
          </cell>
          <cell r="H1292">
            <v>733146</v>
          </cell>
          <cell r="I1292">
            <v>122725</v>
          </cell>
          <cell r="J1292">
            <v>92</v>
          </cell>
        </row>
        <row r="1293">
          <cell r="A1293" t="str">
            <v>Always_OnSASearch</v>
          </cell>
          <cell r="B1293">
            <v>45488</v>
          </cell>
          <cell r="C1293">
            <v>45488</v>
          </cell>
          <cell r="D1293" t="str">
            <v>Always_On</v>
          </cell>
          <cell r="E1293" t="str">
            <v>SA</v>
          </cell>
          <cell r="F1293" t="str">
            <v>Search</v>
          </cell>
          <cell r="G1293">
            <v>5036</v>
          </cell>
          <cell r="H1293">
            <v>57302</v>
          </cell>
          <cell r="I1293">
            <v>48783</v>
          </cell>
          <cell r="J1293">
            <v>1676</v>
          </cell>
        </row>
        <row r="1294">
          <cell r="A1294" t="str">
            <v>Always_OnEGYouTube</v>
          </cell>
          <cell r="B1294">
            <v>45488</v>
          </cell>
          <cell r="C1294">
            <v>45488</v>
          </cell>
          <cell r="D1294" t="str">
            <v>Always_On</v>
          </cell>
          <cell r="E1294" t="str">
            <v>EG</v>
          </cell>
          <cell r="F1294" t="str">
            <v>YouTube</v>
          </cell>
          <cell r="G1294">
            <v>4165</v>
          </cell>
          <cell r="H1294">
            <v>214984</v>
          </cell>
          <cell r="I1294">
            <v>96230</v>
          </cell>
          <cell r="J1294">
            <v>513</v>
          </cell>
        </row>
        <row r="1295">
          <cell r="A1295" t="str">
            <v>Always_OnEGSocial</v>
          </cell>
          <cell r="B1295">
            <v>45488</v>
          </cell>
          <cell r="C1295">
            <v>45488</v>
          </cell>
          <cell r="D1295" t="str">
            <v>Always_On</v>
          </cell>
          <cell r="E1295" t="str">
            <v>EG</v>
          </cell>
          <cell r="F1295" t="str">
            <v>Social</v>
          </cell>
          <cell r="G1295">
            <v>3493</v>
          </cell>
          <cell r="H1295">
            <v>278639</v>
          </cell>
          <cell r="I1295">
            <v>93403</v>
          </cell>
          <cell r="J1295">
            <v>405</v>
          </cell>
        </row>
        <row r="1296">
          <cell r="A1296" t="str">
            <v>Always_OnEGDisplay</v>
          </cell>
          <cell r="B1296">
            <v>45488</v>
          </cell>
          <cell r="C1296">
            <v>45488</v>
          </cell>
          <cell r="D1296" t="str">
            <v>Always_On</v>
          </cell>
          <cell r="E1296" t="str">
            <v>EG</v>
          </cell>
          <cell r="F1296" t="str">
            <v>Display</v>
          </cell>
          <cell r="G1296">
            <v>2036</v>
          </cell>
          <cell r="H1296">
            <v>412502</v>
          </cell>
          <cell r="I1296">
            <v>77495</v>
          </cell>
          <cell r="J1296">
            <v>61</v>
          </cell>
        </row>
        <row r="1297">
          <cell r="A1297" t="str">
            <v>Always_OnEGSearch</v>
          </cell>
          <cell r="B1297">
            <v>45488</v>
          </cell>
          <cell r="C1297">
            <v>45488</v>
          </cell>
          <cell r="D1297" t="str">
            <v>Always_On</v>
          </cell>
          <cell r="E1297" t="str">
            <v>EG</v>
          </cell>
          <cell r="F1297" t="str">
            <v>Search</v>
          </cell>
          <cell r="G1297">
            <v>4394</v>
          </cell>
          <cell r="H1297">
            <v>46062</v>
          </cell>
          <cell r="I1297">
            <v>41675</v>
          </cell>
          <cell r="J1297">
            <v>1499</v>
          </cell>
        </row>
        <row r="1298">
          <cell r="A1298" t="str">
            <v>Always_OnUKYouTube</v>
          </cell>
          <cell r="B1298">
            <v>45495</v>
          </cell>
          <cell r="C1298">
            <v>45495</v>
          </cell>
          <cell r="D1298" t="str">
            <v>Always_On</v>
          </cell>
          <cell r="E1298" t="str">
            <v>UK</v>
          </cell>
          <cell r="F1298" t="str">
            <v>YouTube</v>
          </cell>
          <cell r="G1298">
            <v>7100</v>
          </cell>
          <cell r="H1298">
            <v>568166</v>
          </cell>
          <cell r="I1298">
            <v>207900</v>
          </cell>
          <cell r="J1298">
            <v>218</v>
          </cell>
        </row>
        <row r="1299">
          <cell r="A1299" t="str">
            <v>Always_OnUKSocial</v>
          </cell>
          <cell r="B1299">
            <v>45495</v>
          </cell>
          <cell r="C1299">
            <v>45495</v>
          </cell>
          <cell r="D1299" t="str">
            <v>Always_On</v>
          </cell>
          <cell r="E1299" t="str">
            <v>UK</v>
          </cell>
          <cell r="F1299" t="str">
            <v>Social</v>
          </cell>
          <cell r="G1299">
            <v>7690</v>
          </cell>
          <cell r="H1299">
            <v>476309</v>
          </cell>
          <cell r="I1299">
            <v>174012</v>
          </cell>
          <cell r="J1299">
            <v>277</v>
          </cell>
        </row>
        <row r="1300">
          <cell r="A1300" t="str">
            <v>Always_OnUKDisplay</v>
          </cell>
          <cell r="B1300">
            <v>45495</v>
          </cell>
          <cell r="C1300">
            <v>45495</v>
          </cell>
          <cell r="D1300" t="str">
            <v>Always_On</v>
          </cell>
          <cell r="E1300" t="str">
            <v>UK</v>
          </cell>
          <cell r="F1300" t="str">
            <v>Display</v>
          </cell>
          <cell r="G1300">
            <v>2217</v>
          </cell>
          <cell r="H1300">
            <v>539135</v>
          </cell>
          <cell r="I1300">
            <v>95406</v>
          </cell>
          <cell r="J1300">
            <v>17</v>
          </cell>
        </row>
        <row r="1301">
          <cell r="A1301" t="str">
            <v>Always_OnUKSearch</v>
          </cell>
          <cell r="B1301">
            <v>45495</v>
          </cell>
          <cell r="C1301">
            <v>45495</v>
          </cell>
          <cell r="D1301" t="str">
            <v>Always_On</v>
          </cell>
          <cell r="E1301" t="str">
            <v>UK</v>
          </cell>
          <cell r="F1301" t="str">
            <v>Search</v>
          </cell>
          <cell r="G1301">
            <v>4619</v>
          </cell>
          <cell r="H1301">
            <v>65860</v>
          </cell>
          <cell r="I1301">
            <v>57884</v>
          </cell>
          <cell r="J1301">
            <v>394</v>
          </cell>
        </row>
        <row r="1302">
          <cell r="A1302" t="str">
            <v>Always_OnDEYouTube</v>
          </cell>
          <cell r="B1302">
            <v>45495</v>
          </cell>
          <cell r="C1302">
            <v>45495</v>
          </cell>
          <cell r="D1302" t="str">
            <v>Always_On</v>
          </cell>
          <cell r="E1302" t="str">
            <v>DE</v>
          </cell>
          <cell r="F1302" t="str">
            <v>YouTube</v>
          </cell>
          <cell r="G1302">
            <v>3226</v>
          </cell>
          <cell r="H1302">
            <v>204604</v>
          </cell>
          <cell r="I1302">
            <v>85238</v>
          </cell>
          <cell r="J1302">
            <v>117</v>
          </cell>
        </row>
        <row r="1303">
          <cell r="A1303" t="str">
            <v>Always_OnDESocial</v>
          </cell>
          <cell r="B1303">
            <v>45495</v>
          </cell>
          <cell r="C1303">
            <v>45495</v>
          </cell>
          <cell r="D1303" t="str">
            <v>Always_On</v>
          </cell>
          <cell r="E1303" t="str">
            <v>DE</v>
          </cell>
          <cell r="F1303" t="str">
            <v>Social</v>
          </cell>
          <cell r="G1303">
            <v>4765</v>
          </cell>
          <cell r="H1303">
            <v>322714</v>
          </cell>
          <cell r="I1303">
            <v>146376</v>
          </cell>
          <cell r="J1303">
            <v>161</v>
          </cell>
        </row>
        <row r="1304">
          <cell r="A1304" t="str">
            <v>Always_OnDEDisplay</v>
          </cell>
          <cell r="B1304">
            <v>45495</v>
          </cell>
          <cell r="C1304">
            <v>45495</v>
          </cell>
          <cell r="D1304" t="str">
            <v>Always_On</v>
          </cell>
          <cell r="E1304" t="str">
            <v>DE</v>
          </cell>
          <cell r="F1304" t="str">
            <v>Display</v>
          </cell>
          <cell r="G1304">
            <v>1882</v>
          </cell>
          <cell r="H1304">
            <v>445078</v>
          </cell>
          <cell r="I1304">
            <v>74871</v>
          </cell>
          <cell r="J1304">
            <v>15</v>
          </cell>
        </row>
        <row r="1305">
          <cell r="A1305" t="str">
            <v>Always_OnDESearch</v>
          </cell>
          <cell r="B1305">
            <v>45495</v>
          </cell>
          <cell r="C1305">
            <v>45495</v>
          </cell>
          <cell r="D1305" t="str">
            <v>Always_On</v>
          </cell>
          <cell r="E1305" t="str">
            <v>DE</v>
          </cell>
          <cell r="F1305" t="str">
            <v>Search</v>
          </cell>
          <cell r="G1305">
            <v>6171</v>
          </cell>
          <cell r="H1305">
            <v>82299</v>
          </cell>
          <cell r="I1305">
            <v>69756</v>
          </cell>
          <cell r="J1305">
            <v>523</v>
          </cell>
        </row>
        <row r="1306">
          <cell r="A1306" t="str">
            <v>Always_OnSAYouTube</v>
          </cell>
          <cell r="B1306">
            <v>45495</v>
          </cell>
          <cell r="C1306">
            <v>45495</v>
          </cell>
          <cell r="D1306" t="str">
            <v>Always_On</v>
          </cell>
          <cell r="E1306" t="str">
            <v>SA</v>
          </cell>
          <cell r="F1306" t="str">
            <v>YouTube</v>
          </cell>
          <cell r="G1306">
            <v>4799</v>
          </cell>
          <cell r="H1306">
            <v>354822</v>
          </cell>
          <cell r="I1306">
            <v>124668</v>
          </cell>
          <cell r="J1306">
            <v>550</v>
          </cell>
        </row>
        <row r="1307">
          <cell r="A1307" t="str">
            <v>Always_OnSASocial</v>
          </cell>
          <cell r="B1307">
            <v>45495</v>
          </cell>
          <cell r="C1307">
            <v>45495</v>
          </cell>
          <cell r="D1307" t="str">
            <v>Always_On</v>
          </cell>
          <cell r="E1307" t="str">
            <v>SA</v>
          </cell>
          <cell r="F1307" t="str">
            <v>Social</v>
          </cell>
          <cell r="G1307">
            <v>2782</v>
          </cell>
          <cell r="H1307">
            <v>181516</v>
          </cell>
          <cell r="I1307">
            <v>86102</v>
          </cell>
          <cell r="J1307">
            <v>342</v>
          </cell>
        </row>
        <row r="1308">
          <cell r="A1308" t="str">
            <v>Always_OnSADisplay</v>
          </cell>
          <cell r="B1308">
            <v>45495</v>
          </cell>
          <cell r="C1308">
            <v>45495</v>
          </cell>
          <cell r="D1308" t="str">
            <v>Always_On</v>
          </cell>
          <cell r="E1308" t="str">
            <v>SA</v>
          </cell>
          <cell r="F1308" t="str">
            <v>Display</v>
          </cell>
          <cell r="G1308">
            <v>1519</v>
          </cell>
          <cell r="H1308">
            <v>440362</v>
          </cell>
          <cell r="I1308">
            <v>92165</v>
          </cell>
          <cell r="J1308">
            <v>50</v>
          </cell>
        </row>
        <row r="1309">
          <cell r="A1309" t="str">
            <v>Always_OnSASearch</v>
          </cell>
          <cell r="B1309">
            <v>45495</v>
          </cell>
          <cell r="C1309">
            <v>45495</v>
          </cell>
          <cell r="D1309" t="str">
            <v>Always_On</v>
          </cell>
          <cell r="E1309" t="str">
            <v>SA</v>
          </cell>
          <cell r="F1309" t="str">
            <v>Search</v>
          </cell>
          <cell r="G1309">
            <v>3943</v>
          </cell>
          <cell r="H1309">
            <v>45132</v>
          </cell>
          <cell r="I1309">
            <v>38084</v>
          </cell>
          <cell r="J1309">
            <v>1163</v>
          </cell>
        </row>
        <row r="1310">
          <cell r="A1310" t="str">
            <v>Always_OnEGYouTube</v>
          </cell>
          <cell r="B1310">
            <v>45495</v>
          </cell>
          <cell r="C1310">
            <v>45495</v>
          </cell>
          <cell r="D1310" t="str">
            <v>Always_On</v>
          </cell>
          <cell r="E1310" t="str">
            <v>EG</v>
          </cell>
          <cell r="F1310" t="str">
            <v>YouTube</v>
          </cell>
          <cell r="G1310">
            <v>2230</v>
          </cell>
          <cell r="H1310">
            <v>174698</v>
          </cell>
          <cell r="I1310">
            <v>62001</v>
          </cell>
          <cell r="J1310">
            <v>305</v>
          </cell>
        </row>
        <row r="1311">
          <cell r="A1311" t="str">
            <v>Always_OnEGSocial</v>
          </cell>
          <cell r="B1311">
            <v>45495</v>
          </cell>
          <cell r="C1311">
            <v>45495</v>
          </cell>
          <cell r="D1311" t="str">
            <v>Always_On</v>
          </cell>
          <cell r="E1311" t="str">
            <v>EG</v>
          </cell>
          <cell r="F1311" t="str">
            <v>Social</v>
          </cell>
          <cell r="G1311">
            <v>3519</v>
          </cell>
          <cell r="H1311">
            <v>212310</v>
          </cell>
          <cell r="I1311">
            <v>74669</v>
          </cell>
          <cell r="J1311">
            <v>414</v>
          </cell>
        </row>
        <row r="1312">
          <cell r="A1312" t="str">
            <v>Always_OnEGDisplay</v>
          </cell>
          <cell r="B1312">
            <v>45495</v>
          </cell>
          <cell r="C1312">
            <v>45495</v>
          </cell>
          <cell r="D1312" t="str">
            <v>Always_On</v>
          </cell>
          <cell r="E1312" t="str">
            <v>EG</v>
          </cell>
          <cell r="F1312" t="str">
            <v>Display</v>
          </cell>
          <cell r="G1312">
            <v>1936</v>
          </cell>
          <cell r="H1312">
            <v>467431</v>
          </cell>
          <cell r="I1312">
            <v>89296</v>
          </cell>
          <cell r="J1312">
            <v>65</v>
          </cell>
        </row>
        <row r="1313">
          <cell r="A1313" t="str">
            <v>Always_OnEGSearch</v>
          </cell>
          <cell r="B1313">
            <v>45495</v>
          </cell>
          <cell r="C1313">
            <v>45495</v>
          </cell>
          <cell r="D1313" t="str">
            <v>Always_On</v>
          </cell>
          <cell r="E1313" t="str">
            <v>EG</v>
          </cell>
          <cell r="F1313" t="str">
            <v>Search</v>
          </cell>
          <cell r="G1313">
            <v>2422</v>
          </cell>
          <cell r="H1313">
            <v>32611</v>
          </cell>
          <cell r="I1313">
            <v>27957</v>
          </cell>
          <cell r="J1313">
            <v>720</v>
          </cell>
        </row>
        <row r="1314">
          <cell r="A1314" t="str">
            <v>Always_OnUKYouTube</v>
          </cell>
          <cell r="B1314">
            <v>45502</v>
          </cell>
          <cell r="C1314">
            <v>45502</v>
          </cell>
          <cell r="D1314" t="str">
            <v>Always_On</v>
          </cell>
          <cell r="E1314" t="str">
            <v>UK</v>
          </cell>
          <cell r="F1314" t="str">
            <v>YouTube</v>
          </cell>
          <cell r="G1314">
            <v>3834</v>
          </cell>
          <cell r="H1314">
            <v>309449</v>
          </cell>
          <cell r="I1314">
            <v>119244</v>
          </cell>
          <cell r="J1314">
            <v>134</v>
          </cell>
        </row>
        <row r="1315">
          <cell r="A1315" t="str">
            <v>Always_OnUKSocial</v>
          </cell>
          <cell r="B1315">
            <v>45502</v>
          </cell>
          <cell r="C1315">
            <v>45502</v>
          </cell>
          <cell r="D1315" t="str">
            <v>Always_On</v>
          </cell>
          <cell r="E1315" t="str">
            <v>UK</v>
          </cell>
          <cell r="F1315" t="str">
            <v>Social</v>
          </cell>
          <cell r="G1315">
            <v>4365</v>
          </cell>
          <cell r="H1315">
            <v>220031</v>
          </cell>
          <cell r="I1315">
            <v>83069</v>
          </cell>
          <cell r="J1315">
            <v>138</v>
          </cell>
        </row>
        <row r="1316">
          <cell r="A1316" t="str">
            <v>Always_OnUKDisplay</v>
          </cell>
          <cell r="B1316">
            <v>45502</v>
          </cell>
          <cell r="C1316">
            <v>45502</v>
          </cell>
          <cell r="D1316" t="str">
            <v>Always_On</v>
          </cell>
          <cell r="E1316" t="str">
            <v>UK</v>
          </cell>
          <cell r="F1316" t="str">
            <v>Display</v>
          </cell>
          <cell r="G1316">
            <v>2445</v>
          </cell>
          <cell r="H1316">
            <v>609333</v>
          </cell>
          <cell r="I1316">
            <v>115335</v>
          </cell>
          <cell r="J1316">
            <v>20</v>
          </cell>
        </row>
        <row r="1317">
          <cell r="A1317" t="str">
            <v>Always_OnUKSearch</v>
          </cell>
          <cell r="B1317">
            <v>45502</v>
          </cell>
          <cell r="C1317">
            <v>45502</v>
          </cell>
          <cell r="D1317" t="str">
            <v>Always_On</v>
          </cell>
          <cell r="E1317" t="str">
            <v>UK</v>
          </cell>
          <cell r="F1317" t="str">
            <v>Search</v>
          </cell>
          <cell r="G1317">
            <v>6834</v>
          </cell>
          <cell r="H1317">
            <v>72648</v>
          </cell>
          <cell r="I1317">
            <v>60706</v>
          </cell>
          <cell r="J1317">
            <v>531</v>
          </cell>
        </row>
        <row r="1318">
          <cell r="A1318" t="str">
            <v>Always_OnDEYouTube</v>
          </cell>
          <cell r="B1318">
            <v>45502</v>
          </cell>
          <cell r="C1318">
            <v>45502</v>
          </cell>
          <cell r="D1318" t="str">
            <v>Always_On</v>
          </cell>
          <cell r="E1318" t="str">
            <v>DE</v>
          </cell>
          <cell r="F1318" t="str">
            <v>YouTube</v>
          </cell>
          <cell r="G1318">
            <v>6945</v>
          </cell>
          <cell r="H1318">
            <v>422225</v>
          </cell>
          <cell r="I1318">
            <v>176683</v>
          </cell>
          <cell r="J1318">
            <v>238</v>
          </cell>
        </row>
        <row r="1319">
          <cell r="A1319" t="str">
            <v>Always_OnDESocial</v>
          </cell>
          <cell r="B1319">
            <v>45502</v>
          </cell>
          <cell r="C1319">
            <v>45502</v>
          </cell>
          <cell r="D1319" t="str">
            <v>Always_On</v>
          </cell>
          <cell r="E1319" t="str">
            <v>DE</v>
          </cell>
          <cell r="F1319" t="str">
            <v>Social</v>
          </cell>
          <cell r="G1319">
            <v>4998</v>
          </cell>
          <cell r="H1319">
            <v>340919</v>
          </cell>
          <cell r="I1319">
            <v>137541</v>
          </cell>
          <cell r="J1319">
            <v>176</v>
          </cell>
        </row>
        <row r="1320">
          <cell r="A1320" t="str">
            <v>Always_OnDEDisplay</v>
          </cell>
          <cell r="B1320">
            <v>45502</v>
          </cell>
          <cell r="C1320">
            <v>45502</v>
          </cell>
          <cell r="D1320" t="str">
            <v>Always_On</v>
          </cell>
          <cell r="E1320" t="str">
            <v>DE</v>
          </cell>
          <cell r="F1320" t="str">
            <v>Display</v>
          </cell>
          <cell r="G1320">
            <v>3509</v>
          </cell>
          <cell r="H1320">
            <v>898831</v>
          </cell>
          <cell r="I1320">
            <v>149868</v>
          </cell>
          <cell r="J1320">
            <v>29</v>
          </cell>
        </row>
        <row r="1321">
          <cell r="A1321" t="str">
            <v>Always_OnDESearch</v>
          </cell>
          <cell r="B1321">
            <v>45502</v>
          </cell>
          <cell r="C1321">
            <v>45502</v>
          </cell>
          <cell r="D1321" t="str">
            <v>Always_On</v>
          </cell>
          <cell r="E1321" t="str">
            <v>DE</v>
          </cell>
          <cell r="F1321" t="str">
            <v>Search</v>
          </cell>
          <cell r="G1321">
            <v>5063</v>
          </cell>
          <cell r="H1321">
            <v>53780</v>
          </cell>
          <cell r="I1321">
            <v>47903</v>
          </cell>
          <cell r="J1321">
            <v>410</v>
          </cell>
        </row>
        <row r="1322">
          <cell r="A1322" t="str">
            <v>Always_OnSAYouTube</v>
          </cell>
          <cell r="B1322">
            <v>45502</v>
          </cell>
          <cell r="C1322">
            <v>45502</v>
          </cell>
          <cell r="D1322" t="str">
            <v>Always_On</v>
          </cell>
          <cell r="E1322" t="str">
            <v>SA</v>
          </cell>
          <cell r="F1322" t="str">
            <v>YouTube</v>
          </cell>
          <cell r="G1322">
            <v>4312</v>
          </cell>
          <cell r="H1322">
            <v>384183</v>
          </cell>
          <cell r="I1322">
            <v>183248</v>
          </cell>
          <cell r="J1322">
            <v>563</v>
          </cell>
        </row>
        <row r="1323">
          <cell r="A1323" t="str">
            <v>Always_OnSASocial</v>
          </cell>
          <cell r="B1323">
            <v>45502</v>
          </cell>
          <cell r="C1323">
            <v>45502</v>
          </cell>
          <cell r="D1323" t="str">
            <v>Always_On</v>
          </cell>
          <cell r="E1323" t="str">
            <v>SA</v>
          </cell>
          <cell r="F1323" t="str">
            <v>Social</v>
          </cell>
          <cell r="G1323">
            <v>3833</v>
          </cell>
          <cell r="H1323">
            <v>297509</v>
          </cell>
          <cell r="I1323">
            <v>141896</v>
          </cell>
          <cell r="J1323">
            <v>456</v>
          </cell>
        </row>
        <row r="1324">
          <cell r="A1324" t="str">
            <v>Always_OnSADisplay</v>
          </cell>
          <cell r="B1324">
            <v>45502</v>
          </cell>
          <cell r="C1324">
            <v>45502</v>
          </cell>
          <cell r="D1324" t="str">
            <v>Always_On</v>
          </cell>
          <cell r="E1324" t="str">
            <v>SA</v>
          </cell>
          <cell r="F1324" t="str">
            <v>Display</v>
          </cell>
          <cell r="G1324">
            <v>1306</v>
          </cell>
          <cell r="H1324">
            <v>349989</v>
          </cell>
          <cell r="I1324">
            <v>59435</v>
          </cell>
          <cell r="J1324">
            <v>40</v>
          </cell>
        </row>
        <row r="1325">
          <cell r="A1325" t="str">
            <v>Always_OnSASearch</v>
          </cell>
          <cell r="B1325">
            <v>45502</v>
          </cell>
          <cell r="C1325">
            <v>45502</v>
          </cell>
          <cell r="D1325" t="str">
            <v>Always_On</v>
          </cell>
          <cell r="E1325" t="str">
            <v>SA</v>
          </cell>
          <cell r="F1325" t="str">
            <v>Search</v>
          </cell>
          <cell r="G1325">
            <v>4158</v>
          </cell>
          <cell r="H1325">
            <v>45405</v>
          </cell>
          <cell r="I1325">
            <v>39846</v>
          </cell>
          <cell r="J1325">
            <v>1354</v>
          </cell>
        </row>
        <row r="1326">
          <cell r="A1326" t="str">
            <v>Always_OnEGYouTube</v>
          </cell>
          <cell r="B1326">
            <v>45502</v>
          </cell>
          <cell r="C1326">
            <v>45502</v>
          </cell>
          <cell r="D1326" t="str">
            <v>Always_On</v>
          </cell>
          <cell r="E1326" t="str">
            <v>EG</v>
          </cell>
          <cell r="F1326" t="str">
            <v>YouTube</v>
          </cell>
          <cell r="G1326">
            <v>4589</v>
          </cell>
          <cell r="H1326">
            <v>265112</v>
          </cell>
          <cell r="I1326">
            <v>108613</v>
          </cell>
          <cell r="J1326">
            <v>560</v>
          </cell>
        </row>
        <row r="1327">
          <cell r="A1327" t="str">
            <v>Always_OnEGSocial</v>
          </cell>
          <cell r="B1327">
            <v>45502</v>
          </cell>
          <cell r="C1327">
            <v>45502</v>
          </cell>
          <cell r="D1327" t="str">
            <v>Always_On</v>
          </cell>
          <cell r="E1327" t="str">
            <v>EG</v>
          </cell>
          <cell r="F1327" t="str">
            <v>Social</v>
          </cell>
          <cell r="G1327">
            <v>2476</v>
          </cell>
          <cell r="H1327">
            <v>141151</v>
          </cell>
          <cell r="I1327">
            <v>47132</v>
          </cell>
          <cell r="J1327">
            <v>281</v>
          </cell>
        </row>
        <row r="1328">
          <cell r="A1328" t="str">
            <v>Always_OnEGDisplay</v>
          </cell>
          <cell r="B1328">
            <v>45502</v>
          </cell>
          <cell r="C1328">
            <v>45502</v>
          </cell>
          <cell r="D1328" t="str">
            <v>Always_On</v>
          </cell>
          <cell r="E1328" t="str">
            <v>EG</v>
          </cell>
          <cell r="F1328" t="str">
            <v>Display</v>
          </cell>
          <cell r="G1328">
            <v>2538</v>
          </cell>
          <cell r="H1328">
            <v>556037</v>
          </cell>
          <cell r="I1328">
            <v>119196</v>
          </cell>
          <cell r="J1328">
            <v>83</v>
          </cell>
        </row>
        <row r="1329">
          <cell r="A1329" t="str">
            <v>Always_OnEGSearch</v>
          </cell>
          <cell r="B1329">
            <v>45502</v>
          </cell>
          <cell r="C1329">
            <v>45502</v>
          </cell>
          <cell r="D1329" t="str">
            <v>Always_On</v>
          </cell>
          <cell r="E1329" t="str">
            <v>EG</v>
          </cell>
          <cell r="F1329" t="str">
            <v>Search</v>
          </cell>
          <cell r="G1329">
            <v>3663</v>
          </cell>
          <cell r="H1329">
            <v>54823</v>
          </cell>
          <cell r="I1329">
            <v>48777</v>
          </cell>
          <cell r="J1329">
            <v>1109</v>
          </cell>
        </row>
        <row r="1330">
          <cell r="A1330" t="str">
            <v>Always_OnUKYouTube</v>
          </cell>
          <cell r="B1330">
            <v>45509</v>
          </cell>
          <cell r="C1330">
            <v>45509</v>
          </cell>
          <cell r="D1330" t="str">
            <v>Always_On</v>
          </cell>
          <cell r="E1330" t="str">
            <v>UK</v>
          </cell>
          <cell r="F1330" t="str">
            <v>YouTube</v>
          </cell>
          <cell r="G1330">
            <v>5852</v>
          </cell>
          <cell r="H1330">
            <v>468443</v>
          </cell>
          <cell r="I1330">
            <v>168432</v>
          </cell>
          <cell r="J1330">
            <v>212</v>
          </cell>
        </row>
        <row r="1331">
          <cell r="A1331" t="str">
            <v>Always_OnUKSocial</v>
          </cell>
          <cell r="B1331">
            <v>45509</v>
          </cell>
          <cell r="C1331">
            <v>45509</v>
          </cell>
          <cell r="D1331" t="str">
            <v>Always_On</v>
          </cell>
          <cell r="E1331" t="str">
            <v>UK</v>
          </cell>
          <cell r="F1331" t="str">
            <v>Social</v>
          </cell>
          <cell r="G1331">
            <v>3373</v>
          </cell>
          <cell r="H1331">
            <v>229652</v>
          </cell>
          <cell r="I1331">
            <v>80782</v>
          </cell>
          <cell r="J1331">
            <v>112</v>
          </cell>
        </row>
        <row r="1332">
          <cell r="A1332" t="str">
            <v>Always_OnUKDisplay</v>
          </cell>
          <cell r="B1332">
            <v>45509</v>
          </cell>
          <cell r="C1332">
            <v>45509</v>
          </cell>
          <cell r="D1332" t="str">
            <v>Always_On</v>
          </cell>
          <cell r="E1332" t="str">
            <v>UK</v>
          </cell>
          <cell r="F1332" t="str">
            <v>Display</v>
          </cell>
          <cell r="G1332">
            <v>2277</v>
          </cell>
          <cell r="H1332">
            <v>583011</v>
          </cell>
          <cell r="I1332">
            <v>107980</v>
          </cell>
          <cell r="J1332">
            <v>20</v>
          </cell>
        </row>
        <row r="1333">
          <cell r="A1333" t="str">
            <v>Always_OnUKSearch</v>
          </cell>
          <cell r="B1333">
            <v>45509</v>
          </cell>
          <cell r="C1333">
            <v>45509</v>
          </cell>
          <cell r="D1333" t="str">
            <v>Always_On</v>
          </cell>
          <cell r="E1333" t="str">
            <v>UK</v>
          </cell>
          <cell r="F1333" t="str">
            <v>Search</v>
          </cell>
          <cell r="G1333">
            <v>3052</v>
          </cell>
          <cell r="H1333">
            <v>33605</v>
          </cell>
          <cell r="I1333">
            <v>28612</v>
          </cell>
          <cell r="J1333">
            <v>242</v>
          </cell>
        </row>
        <row r="1334">
          <cell r="A1334" t="str">
            <v>Always_OnDEYouTube</v>
          </cell>
          <cell r="B1334">
            <v>45509</v>
          </cell>
          <cell r="C1334">
            <v>45509</v>
          </cell>
          <cell r="D1334" t="str">
            <v>Always_On</v>
          </cell>
          <cell r="E1334" t="str">
            <v>DE</v>
          </cell>
          <cell r="F1334" t="str">
            <v>YouTube</v>
          </cell>
          <cell r="G1334">
            <v>5997</v>
          </cell>
          <cell r="H1334">
            <v>412686</v>
          </cell>
          <cell r="I1334">
            <v>187246</v>
          </cell>
          <cell r="J1334">
            <v>217</v>
          </cell>
        </row>
        <row r="1335">
          <cell r="A1335" t="str">
            <v>Always_OnDESocial</v>
          </cell>
          <cell r="B1335">
            <v>45509</v>
          </cell>
          <cell r="C1335">
            <v>45509</v>
          </cell>
          <cell r="D1335" t="str">
            <v>Always_On</v>
          </cell>
          <cell r="E1335" t="str">
            <v>DE</v>
          </cell>
          <cell r="F1335" t="str">
            <v>Social</v>
          </cell>
          <cell r="G1335">
            <v>3510</v>
          </cell>
          <cell r="H1335">
            <v>247038</v>
          </cell>
          <cell r="I1335">
            <v>117589</v>
          </cell>
          <cell r="J1335">
            <v>116</v>
          </cell>
        </row>
        <row r="1336">
          <cell r="A1336" t="str">
            <v>Always_OnDEDisplay</v>
          </cell>
          <cell r="B1336">
            <v>45509</v>
          </cell>
          <cell r="C1336">
            <v>45509</v>
          </cell>
          <cell r="D1336" t="str">
            <v>Always_On</v>
          </cell>
          <cell r="E1336" t="str">
            <v>DE</v>
          </cell>
          <cell r="F1336" t="str">
            <v>Display</v>
          </cell>
          <cell r="G1336">
            <v>3259</v>
          </cell>
          <cell r="H1336">
            <v>876806</v>
          </cell>
          <cell r="I1336">
            <v>176152</v>
          </cell>
          <cell r="J1336">
            <v>27</v>
          </cell>
        </row>
        <row r="1337">
          <cell r="A1337" t="str">
            <v>Always_OnDESearch</v>
          </cell>
          <cell r="B1337">
            <v>45509</v>
          </cell>
          <cell r="C1337">
            <v>45509</v>
          </cell>
          <cell r="D1337" t="str">
            <v>Always_On</v>
          </cell>
          <cell r="E1337" t="str">
            <v>DE</v>
          </cell>
          <cell r="F1337" t="str">
            <v>Search</v>
          </cell>
          <cell r="G1337">
            <v>7903</v>
          </cell>
          <cell r="H1337">
            <v>87734</v>
          </cell>
          <cell r="I1337">
            <v>77086</v>
          </cell>
          <cell r="J1337">
            <v>641</v>
          </cell>
        </row>
        <row r="1338">
          <cell r="A1338" t="str">
            <v>Always_OnSAYouTube</v>
          </cell>
          <cell r="B1338">
            <v>45509</v>
          </cell>
          <cell r="C1338">
            <v>45509</v>
          </cell>
          <cell r="D1338" t="str">
            <v>Always_On</v>
          </cell>
          <cell r="E1338" t="str">
            <v>SA</v>
          </cell>
          <cell r="F1338" t="str">
            <v>YouTube</v>
          </cell>
          <cell r="G1338">
            <v>4469</v>
          </cell>
          <cell r="H1338">
            <v>378978</v>
          </cell>
          <cell r="I1338">
            <v>184185</v>
          </cell>
          <cell r="J1338">
            <v>520</v>
          </cell>
        </row>
        <row r="1339">
          <cell r="A1339" t="str">
            <v>Always_OnSASocial</v>
          </cell>
          <cell r="B1339">
            <v>45509</v>
          </cell>
          <cell r="C1339">
            <v>45509</v>
          </cell>
          <cell r="D1339" t="str">
            <v>Always_On</v>
          </cell>
          <cell r="E1339" t="str">
            <v>SA</v>
          </cell>
          <cell r="F1339" t="str">
            <v>Social</v>
          </cell>
          <cell r="G1339">
            <v>2046</v>
          </cell>
          <cell r="H1339">
            <v>116290</v>
          </cell>
          <cell r="I1339">
            <v>46124</v>
          </cell>
          <cell r="J1339">
            <v>254</v>
          </cell>
        </row>
        <row r="1340">
          <cell r="A1340" t="str">
            <v>Always_OnSADisplay</v>
          </cell>
          <cell r="B1340">
            <v>45509</v>
          </cell>
          <cell r="C1340">
            <v>45509</v>
          </cell>
          <cell r="D1340" t="str">
            <v>Always_On</v>
          </cell>
          <cell r="E1340" t="str">
            <v>SA</v>
          </cell>
          <cell r="F1340" t="str">
            <v>Display</v>
          </cell>
          <cell r="G1340">
            <v>1723</v>
          </cell>
          <cell r="H1340">
            <v>427243</v>
          </cell>
          <cell r="I1340">
            <v>95217</v>
          </cell>
          <cell r="J1340">
            <v>51</v>
          </cell>
        </row>
        <row r="1341">
          <cell r="A1341" t="str">
            <v>Always_OnSASearch</v>
          </cell>
          <cell r="B1341">
            <v>45509</v>
          </cell>
          <cell r="C1341">
            <v>45509</v>
          </cell>
          <cell r="D1341" t="str">
            <v>Always_On</v>
          </cell>
          <cell r="E1341" t="str">
            <v>SA</v>
          </cell>
          <cell r="F1341" t="str">
            <v>Search</v>
          </cell>
          <cell r="G1341">
            <v>4875</v>
          </cell>
          <cell r="H1341">
            <v>55010</v>
          </cell>
          <cell r="I1341">
            <v>49951</v>
          </cell>
          <cell r="J1341">
            <v>1518</v>
          </cell>
        </row>
        <row r="1342">
          <cell r="A1342" t="str">
            <v>Always_OnEGYouTube</v>
          </cell>
          <cell r="B1342">
            <v>45509</v>
          </cell>
          <cell r="C1342">
            <v>45509</v>
          </cell>
          <cell r="D1342" t="str">
            <v>Always_On</v>
          </cell>
          <cell r="E1342" t="str">
            <v>EG</v>
          </cell>
          <cell r="F1342" t="str">
            <v>YouTube</v>
          </cell>
          <cell r="G1342">
            <v>2919</v>
          </cell>
          <cell r="H1342">
            <v>241060</v>
          </cell>
          <cell r="I1342">
            <v>105806</v>
          </cell>
          <cell r="J1342">
            <v>359</v>
          </cell>
        </row>
        <row r="1343">
          <cell r="A1343" t="str">
            <v>Always_OnEGSocial</v>
          </cell>
          <cell r="B1343">
            <v>45509</v>
          </cell>
          <cell r="C1343">
            <v>45509</v>
          </cell>
          <cell r="D1343" t="str">
            <v>Always_On</v>
          </cell>
          <cell r="E1343" t="str">
            <v>EG</v>
          </cell>
          <cell r="F1343" t="str">
            <v>Social</v>
          </cell>
          <cell r="G1343">
            <v>3532</v>
          </cell>
          <cell r="H1343">
            <v>194867</v>
          </cell>
          <cell r="I1343">
            <v>87667</v>
          </cell>
          <cell r="J1343">
            <v>456</v>
          </cell>
        </row>
        <row r="1344">
          <cell r="A1344" t="str">
            <v>Always_OnEGDisplay</v>
          </cell>
          <cell r="B1344">
            <v>45509</v>
          </cell>
          <cell r="C1344">
            <v>45509</v>
          </cell>
          <cell r="D1344" t="str">
            <v>Always_On</v>
          </cell>
          <cell r="E1344" t="str">
            <v>EG</v>
          </cell>
          <cell r="F1344" t="str">
            <v>Display</v>
          </cell>
          <cell r="G1344">
            <v>2002</v>
          </cell>
          <cell r="H1344">
            <v>438031</v>
          </cell>
          <cell r="I1344">
            <v>87940</v>
          </cell>
          <cell r="J1344">
            <v>59</v>
          </cell>
        </row>
        <row r="1345">
          <cell r="A1345" t="str">
            <v>Always_OnEGSearch</v>
          </cell>
          <cell r="B1345">
            <v>45509</v>
          </cell>
          <cell r="C1345">
            <v>45509</v>
          </cell>
          <cell r="D1345" t="str">
            <v>Always_On</v>
          </cell>
          <cell r="E1345" t="str">
            <v>EG</v>
          </cell>
          <cell r="F1345" t="str">
            <v>Search</v>
          </cell>
          <cell r="G1345">
            <v>4014</v>
          </cell>
          <cell r="H1345">
            <v>58794</v>
          </cell>
          <cell r="I1345">
            <v>52205</v>
          </cell>
          <cell r="J1345">
            <v>1268</v>
          </cell>
        </row>
        <row r="1346">
          <cell r="A1346" t="str">
            <v>BackToSchool_24UKYouTube</v>
          </cell>
          <cell r="B1346">
            <v>45516</v>
          </cell>
          <cell r="C1346">
            <v>45516</v>
          </cell>
          <cell r="D1346" t="str">
            <v>BackToSchool_24</v>
          </cell>
          <cell r="E1346" t="str">
            <v>UK</v>
          </cell>
          <cell r="F1346" t="str">
            <v>YouTube</v>
          </cell>
          <cell r="G1346">
            <v>21685</v>
          </cell>
          <cell r="H1346">
            <v>1872740</v>
          </cell>
          <cell r="I1346">
            <v>636984</v>
          </cell>
          <cell r="J1346">
            <v>774</v>
          </cell>
        </row>
        <row r="1347">
          <cell r="A1347" t="str">
            <v>BackToSchool_24UKSocial</v>
          </cell>
          <cell r="B1347">
            <v>45516</v>
          </cell>
          <cell r="C1347">
            <v>45516</v>
          </cell>
          <cell r="D1347" t="str">
            <v>BackToSchool_24</v>
          </cell>
          <cell r="E1347" t="str">
            <v>UK</v>
          </cell>
          <cell r="F1347" t="str">
            <v>Social</v>
          </cell>
          <cell r="G1347">
            <v>17061</v>
          </cell>
          <cell r="H1347">
            <v>966108</v>
          </cell>
          <cell r="I1347">
            <v>373457</v>
          </cell>
          <cell r="J1347">
            <v>530</v>
          </cell>
        </row>
        <row r="1348">
          <cell r="A1348" t="str">
            <v>BackToSchool_24UKDisplay</v>
          </cell>
          <cell r="B1348">
            <v>45516</v>
          </cell>
          <cell r="C1348">
            <v>45516</v>
          </cell>
          <cell r="D1348" t="str">
            <v>BackToSchool_24</v>
          </cell>
          <cell r="E1348" t="str">
            <v>UK</v>
          </cell>
          <cell r="F1348" t="str">
            <v>Display</v>
          </cell>
          <cell r="G1348">
            <v>11957</v>
          </cell>
          <cell r="H1348">
            <v>2873949</v>
          </cell>
          <cell r="I1348">
            <v>709767</v>
          </cell>
          <cell r="J1348">
            <v>91</v>
          </cell>
        </row>
        <row r="1349">
          <cell r="A1349" t="str">
            <v>BackToSchool_24UKSearch</v>
          </cell>
          <cell r="B1349">
            <v>45516</v>
          </cell>
          <cell r="C1349">
            <v>45516</v>
          </cell>
          <cell r="D1349" t="str">
            <v>BackToSchool_24</v>
          </cell>
          <cell r="E1349" t="str">
            <v>UK</v>
          </cell>
          <cell r="F1349" t="str">
            <v>Search</v>
          </cell>
          <cell r="G1349">
            <v>14679</v>
          </cell>
          <cell r="H1349">
            <v>182217</v>
          </cell>
          <cell r="I1349">
            <v>162447</v>
          </cell>
          <cell r="J1349">
            <v>1253</v>
          </cell>
        </row>
        <row r="1350">
          <cell r="A1350" t="str">
            <v>BackToSchool_24DEYouTube</v>
          </cell>
          <cell r="B1350">
            <v>45516</v>
          </cell>
          <cell r="C1350">
            <v>45516</v>
          </cell>
          <cell r="D1350" t="str">
            <v>BackToSchool_24</v>
          </cell>
          <cell r="E1350" t="str">
            <v>DE</v>
          </cell>
          <cell r="F1350" t="str">
            <v>YouTube</v>
          </cell>
          <cell r="G1350">
            <v>24640</v>
          </cell>
          <cell r="H1350">
            <v>1891692</v>
          </cell>
          <cell r="I1350">
            <v>775481</v>
          </cell>
          <cell r="J1350">
            <v>827</v>
          </cell>
        </row>
        <row r="1351">
          <cell r="A1351" t="str">
            <v>BackToSchool_24DESocial</v>
          </cell>
          <cell r="B1351">
            <v>45516</v>
          </cell>
          <cell r="C1351">
            <v>45516</v>
          </cell>
          <cell r="D1351" t="str">
            <v>BackToSchool_24</v>
          </cell>
          <cell r="E1351" t="str">
            <v>DE</v>
          </cell>
          <cell r="F1351" t="str">
            <v>Social</v>
          </cell>
          <cell r="G1351">
            <v>21452</v>
          </cell>
          <cell r="H1351">
            <v>1892843</v>
          </cell>
          <cell r="I1351">
            <v>665396</v>
          </cell>
          <cell r="J1351">
            <v>731</v>
          </cell>
        </row>
        <row r="1352">
          <cell r="A1352" t="str">
            <v>BackToSchool_24DEDisplay</v>
          </cell>
          <cell r="B1352">
            <v>45516</v>
          </cell>
          <cell r="C1352">
            <v>45516</v>
          </cell>
          <cell r="D1352" t="str">
            <v>BackToSchool_24</v>
          </cell>
          <cell r="E1352" t="str">
            <v>DE</v>
          </cell>
          <cell r="F1352" t="str">
            <v>Display</v>
          </cell>
          <cell r="G1352">
            <v>11696</v>
          </cell>
          <cell r="H1352">
            <v>2586544</v>
          </cell>
          <cell r="I1352">
            <v>446576</v>
          </cell>
          <cell r="J1352">
            <v>91</v>
          </cell>
        </row>
        <row r="1353">
          <cell r="A1353" t="str">
            <v>BackToSchool_24DESearch</v>
          </cell>
          <cell r="B1353">
            <v>45516</v>
          </cell>
          <cell r="C1353">
            <v>45516</v>
          </cell>
          <cell r="D1353" t="str">
            <v>BackToSchool_24</v>
          </cell>
          <cell r="E1353" t="str">
            <v>DE</v>
          </cell>
          <cell r="F1353" t="str">
            <v>Search</v>
          </cell>
          <cell r="G1353">
            <v>23078</v>
          </cell>
          <cell r="H1353">
            <v>270601</v>
          </cell>
          <cell r="I1353">
            <v>237109</v>
          </cell>
          <cell r="J1353">
            <v>1964</v>
          </cell>
        </row>
        <row r="1354">
          <cell r="A1354" t="str">
            <v>BackToSchool_24SAYouTube</v>
          </cell>
          <cell r="B1354">
            <v>45516</v>
          </cell>
          <cell r="C1354">
            <v>45516</v>
          </cell>
          <cell r="D1354" t="str">
            <v>BackToSchool_24</v>
          </cell>
          <cell r="E1354" t="str">
            <v>SA</v>
          </cell>
          <cell r="F1354" t="str">
            <v>YouTube</v>
          </cell>
          <cell r="G1354">
            <v>14624</v>
          </cell>
          <cell r="H1354">
            <v>903386</v>
          </cell>
          <cell r="I1354">
            <v>316136</v>
          </cell>
          <cell r="J1354">
            <v>1747</v>
          </cell>
        </row>
        <row r="1355">
          <cell r="A1355" t="str">
            <v>BackToSchool_24SASocial</v>
          </cell>
          <cell r="B1355">
            <v>45516</v>
          </cell>
          <cell r="C1355">
            <v>45516</v>
          </cell>
          <cell r="D1355" t="str">
            <v>BackToSchool_24</v>
          </cell>
          <cell r="E1355" t="str">
            <v>SA</v>
          </cell>
          <cell r="F1355" t="str">
            <v>Social</v>
          </cell>
          <cell r="G1355">
            <v>7531</v>
          </cell>
          <cell r="H1355">
            <v>466698</v>
          </cell>
          <cell r="I1355">
            <v>181130</v>
          </cell>
          <cell r="J1355">
            <v>883</v>
          </cell>
        </row>
        <row r="1356">
          <cell r="A1356" t="str">
            <v>BackToSchool_24SADisplay</v>
          </cell>
          <cell r="B1356">
            <v>45516</v>
          </cell>
          <cell r="C1356">
            <v>45516</v>
          </cell>
          <cell r="D1356" t="str">
            <v>BackToSchool_24</v>
          </cell>
          <cell r="E1356" t="str">
            <v>SA</v>
          </cell>
          <cell r="F1356" t="str">
            <v>Display</v>
          </cell>
          <cell r="G1356">
            <v>7079</v>
          </cell>
          <cell r="H1356">
            <v>1647400</v>
          </cell>
          <cell r="I1356">
            <v>368172</v>
          </cell>
          <cell r="J1356">
            <v>243</v>
          </cell>
        </row>
        <row r="1357">
          <cell r="A1357" t="str">
            <v>BackToSchool_24SASearch</v>
          </cell>
          <cell r="B1357">
            <v>45516</v>
          </cell>
          <cell r="C1357">
            <v>45516</v>
          </cell>
          <cell r="D1357" t="str">
            <v>BackToSchool_24</v>
          </cell>
          <cell r="E1357" t="str">
            <v>SA</v>
          </cell>
          <cell r="F1357" t="str">
            <v>Search</v>
          </cell>
          <cell r="G1357">
            <v>11921</v>
          </cell>
          <cell r="H1357">
            <v>148583</v>
          </cell>
          <cell r="I1357">
            <v>134911</v>
          </cell>
          <cell r="J1357">
            <v>3593</v>
          </cell>
        </row>
        <row r="1358">
          <cell r="A1358" t="str">
            <v>BackToSchool_24EGYouTube</v>
          </cell>
          <cell r="B1358">
            <v>45516</v>
          </cell>
          <cell r="C1358">
            <v>45516</v>
          </cell>
          <cell r="D1358" t="str">
            <v>BackToSchool_24</v>
          </cell>
          <cell r="E1358" t="str">
            <v>EG</v>
          </cell>
          <cell r="F1358" t="str">
            <v>YouTube</v>
          </cell>
          <cell r="G1358">
            <v>13818</v>
          </cell>
          <cell r="H1358">
            <v>1009175</v>
          </cell>
          <cell r="I1358">
            <v>401715</v>
          </cell>
          <cell r="J1358">
            <v>1889</v>
          </cell>
        </row>
        <row r="1359">
          <cell r="A1359" t="str">
            <v>BackToSchool_24EGSocial</v>
          </cell>
          <cell r="B1359">
            <v>45516</v>
          </cell>
          <cell r="C1359">
            <v>45516</v>
          </cell>
          <cell r="D1359" t="str">
            <v>BackToSchool_24</v>
          </cell>
          <cell r="E1359" t="str">
            <v>EG</v>
          </cell>
          <cell r="F1359" t="str">
            <v>Social</v>
          </cell>
          <cell r="G1359">
            <v>14903</v>
          </cell>
          <cell r="H1359">
            <v>1212025</v>
          </cell>
          <cell r="I1359">
            <v>405417</v>
          </cell>
          <cell r="J1359">
            <v>1849</v>
          </cell>
        </row>
        <row r="1360">
          <cell r="A1360" t="str">
            <v>BackToSchool_24EGDisplay</v>
          </cell>
          <cell r="B1360">
            <v>45516</v>
          </cell>
          <cell r="C1360">
            <v>45516</v>
          </cell>
          <cell r="D1360" t="str">
            <v>BackToSchool_24</v>
          </cell>
          <cell r="E1360" t="str">
            <v>EG</v>
          </cell>
          <cell r="F1360" t="str">
            <v>Display</v>
          </cell>
          <cell r="G1360">
            <v>9333</v>
          </cell>
          <cell r="H1360">
            <v>1902234</v>
          </cell>
          <cell r="I1360">
            <v>319361</v>
          </cell>
          <cell r="J1360">
            <v>305</v>
          </cell>
        </row>
        <row r="1361">
          <cell r="A1361" t="str">
            <v>BackToSchool_24EGSearch</v>
          </cell>
          <cell r="B1361">
            <v>45516</v>
          </cell>
          <cell r="C1361">
            <v>45516</v>
          </cell>
          <cell r="D1361" t="str">
            <v>BackToSchool_24</v>
          </cell>
          <cell r="E1361" t="str">
            <v>EG</v>
          </cell>
          <cell r="F1361" t="str">
            <v>Search</v>
          </cell>
          <cell r="G1361">
            <v>8714</v>
          </cell>
          <cell r="H1361">
            <v>91161</v>
          </cell>
          <cell r="I1361">
            <v>78395</v>
          </cell>
          <cell r="J1361">
            <v>3012</v>
          </cell>
        </row>
        <row r="1362">
          <cell r="A1362" t="str">
            <v>BackToSchool_24UKYouTube</v>
          </cell>
          <cell r="B1362">
            <v>45523</v>
          </cell>
          <cell r="C1362">
            <v>45523</v>
          </cell>
          <cell r="D1362" t="str">
            <v>BackToSchool_24</v>
          </cell>
          <cell r="E1362" t="str">
            <v>UK</v>
          </cell>
          <cell r="F1362" t="str">
            <v>YouTube</v>
          </cell>
          <cell r="G1362">
            <v>18003</v>
          </cell>
          <cell r="H1362">
            <v>975088</v>
          </cell>
          <cell r="I1362">
            <v>333620</v>
          </cell>
          <cell r="J1362">
            <v>664</v>
          </cell>
        </row>
        <row r="1363">
          <cell r="A1363" t="str">
            <v>BackToSchool_24UKSocial</v>
          </cell>
          <cell r="B1363">
            <v>45523</v>
          </cell>
          <cell r="C1363">
            <v>45523</v>
          </cell>
          <cell r="D1363" t="str">
            <v>BackToSchool_24</v>
          </cell>
          <cell r="E1363" t="str">
            <v>UK</v>
          </cell>
          <cell r="F1363" t="str">
            <v>Social</v>
          </cell>
          <cell r="G1363">
            <v>14946</v>
          </cell>
          <cell r="H1363">
            <v>755723</v>
          </cell>
          <cell r="I1363">
            <v>255162</v>
          </cell>
          <cell r="J1363">
            <v>514</v>
          </cell>
        </row>
        <row r="1364">
          <cell r="A1364" t="str">
            <v>BackToSchool_24UKDisplay</v>
          </cell>
          <cell r="B1364">
            <v>45523</v>
          </cell>
          <cell r="C1364">
            <v>45523</v>
          </cell>
          <cell r="D1364" t="str">
            <v>BackToSchool_24</v>
          </cell>
          <cell r="E1364" t="str">
            <v>UK</v>
          </cell>
          <cell r="F1364" t="str">
            <v>Display</v>
          </cell>
          <cell r="G1364">
            <v>14676</v>
          </cell>
          <cell r="H1364">
            <v>3576508</v>
          </cell>
          <cell r="I1364">
            <v>603240</v>
          </cell>
          <cell r="J1364">
            <v>120</v>
          </cell>
        </row>
        <row r="1365">
          <cell r="A1365" t="str">
            <v>BackToSchool_24UKSearch</v>
          </cell>
          <cell r="B1365">
            <v>45523</v>
          </cell>
          <cell r="C1365">
            <v>45523</v>
          </cell>
          <cell r="D1365" t="str">
            <v>BackToSchool_24</v>
          </cell>
          <cell r="E1365" t="str">
            <v>UK</v>
          </cell>
          <cell r="F1365" t="str">
            <v>Search</v>
          </cell>
          <cell r="G1365">
            <v>13590</v>
          </cell>
          <cell r="H1365">
            <v>167119</v>
          </cell>
          <cell r="I1365">
            <v>148781</v>
          </cell>
          <cell r="J1365">
            <v>1061</v>
          </cell>
        </row>
        <row r="1366">
          <cell r="A1366" t="str">
            <v>BackToSchool_24DEYouTube</v>
          </cell>
          <cell r="B1366">
            <v>45523</v>
          </cell>
          <cell r="C1366">
            <v>45523</v>
          </cell>
          <cell r="D1366" t="str">
            <v>BackToSchool_24</v>
          </cell>
          <cell r="E1366" t="str">
            <v>DE</v>
          </cell>
          <cell r="F1366" t="str">
            <v>YouTube</v>
          </cell>
          <cell r="G1366">
            <v>20306</v>
          </cell>
          <cell r="H1366">
            <v>1257028</v>
          </cell>
          <cell r="I1366">
            <v>460966</v>
          </cell>
          <cell r="J1366">
            <v>662</v>
          </cell>
        </row>
        <row r="1367">
          <cell r="A1367" t="str">
            <v>BackToSchool_24DESocial</v>
          </cell>
          <cell r="B1367">
            <v>45523</v>
          </cell>
          <cell r="C1367">
            <v>45523</v>
          </cell>
          <cell r="D1367" t="str">
            <v>BackToSchool_24</v>
          </cell>
          <cell r="E1367" t="str">
            <v>DE</v>
          </cell>
          <cell r="F1367" t="str">
            <v>Social</v>
          </cell>
          <cell r="G1367">
            <v>9959</v>
          </cell>
          <cell r="H1367">
            <v>735229</v>
          </cell>
          <cell r="I1367">
            <v>333571</v>
          </cell>
          <cell r="J1367">
            <v>324</v>
          </cell>
        </row>
        <row r="1368">
          <cell r="A1368" t="str">
            <v>BackToSchool_24DEDisplay</v>
          </cell>
          <cell r="B1368">
            <v>45523</v>
          </cell>
          <cell r="C1368">
            <v>45523</v>
          </cell>
          <cell r="D1368" t="str">
            <v>BackToSchool_24</v>
          </cell>
          <cell r="E1368" t="str">
            <v>DE</v>
          </cell>
          <cell r="F1368" t="str">
            <v>Display</v>
          </cell>
          <cell r="G1368">
            <v>15227</v>
          </cell>
          <cell r="H1368">
            <v>3719388</v>
          </cell>
          <cell r="I1368">
            <v>666260</v>
          </cell>
          <cell r="J1368">
            <v>121</v>
          </cell>
        </row>
        <row r="1369">
          <cell r="A1369" t="str">
            <v>BackToSchool_24DESearch</v>
          </cell>
          <cell r="B1369">
            <v>45523</v>
          </cell>
          <cell r="C1369">
            <v>45523</v>
          </cell>
          <cell r="D1369" t="str">
            <v>BackToSchool_24</v>
          </cell>
          <cell r="E1369" t="str">
            <v>DE</v>
          </cell>
          <cell r="F1369" t="str">
            <v>Search</v>
          </cell>
          <cell r="G1369">
            <v>21698</v>
          </cell>
          <cell r="H1369">
            <v>227572</v>
          </cell>
          <cell r="I1369">
            <v>194897</v>
          </cell>
          <cell r="J1369">
            <v>1694</v>
          </cell>
        </row>
        <row r="1370">
          <cell r="A1370" t="str">
            <v>BackToSchool_24SAYouTube</v>
          </cell>
          <cell r="B1370">
            <v>45523</v>
          </cell>
          <cell r="C1370">
            <v>45523</v>
          </cell>
          <cell r="D1370" t="str">
            <v>BackToSchool_24</v>
          </cell>
          <cell r="E1370" t="str">
            <v>SA</v>
          </cell>
          <cell r="F1370" t="str">
            <v>YouTube</v>
          </cell>
          <cell r="G1370">
            <v>13843</v>
          </cell>
          <cell r="H1370">
            <v>1078070</v>
          </cell>
          <cell r="I1370">
            <v>421571</v>
          </cell>
          <cell r="J1370">
            <v>1815</v>
          </cell>
        </row>
        <row r="1371">
          <cell r="A1371" t="str">
            <v>BackToSchool_24SASocial</v>
          </cell>
          <cell r="B1371">
            <v>45523</v>
          </cell>
          <cell r="C1371">
            <v>45523</v>
          </cell>
          <cell r="D1371" t="str">
            <v>BackToSchool_24</v>
          </cell>
          <cell r="E1371" t="str">
            <v>SA</v>
          </cell>
          <cell r="F1371" t="str">
            <v>Social</v>
          </cell>
          <cell r="G1371">
            <v>9413</v>
          </cell>
          <cell r="H1371">
            <v>554829</v>
          </cell>
          <cell r="I1371">
            <v>199272</v>
          </cell>
          <cell r="J1371">
            <v>1128</v>
          </cell>
        </row>
        <row r="1372">
          <cell r="A1372" t="str">
            <v>BackToSchool_24SADisplay</v>
          </cell>
          <cell r="B1372">
            <v>45523</v>
          </cell>
          <cell r="C1372">
            <v>45523</v>
          </cell>
          <cell r="D1372" t="str">
            <v>BackToSchool_24</v>
          </cell>
          <cell r="E1372" t="str">
            <v>SA</v>
          </cell>
          <cell r="F1372" t="str">
            <v>Display</v>
          </cell>
          <cell r="G1372">
            <v>5879</v>
          </cell>
          <cell r="H1372">
            <v>1754558</v>
          </cell>
          <cell r="I1372">
            <v>356240</v>
          </cell>
          <cell r="J1372">
            <v>189</v>
          </cell>
        </row>
        <row r="1373">
          <cell r="A1373" t="str">
            <v>BackToSchool_24SASearch</v>
          </cell>
          <cell r="B1373">
            <v>45523</v>
          </cell>
          <cell r="C1373">
            <v>45523</v>
          </cell>
          <cell r="D1373" t="str">
            <v>BackToSchool_24</v>
          </cell>
          <cell r="E1373" t="str">
            <v>SA</v>
          </cell>
          <cell r="F1373" t="str">
            <v>Search</v>
          </cell>
          <cell r="G1373">
            <v>11532</v>
          </cell>
          <cell r="H1373">
            <v>137253</v>
          </cell>
          <cell r="I1373">
            <v>122767</v>
          </cell>
          <cell r="J1373">
            <v>3287</v>
          </cell>
        </row>
        <row r="1374">
          <cell r="A1374" t="str">
            <v>BackToSchool_24EGYouTube</v>
          </cell>
          <cell r="B1374">
            <v>45523</v>
          </cell>
          <cell r="C1374">
            <v>45523</v>
          </cell>
          <cell r="D1374" t="str">
            <v>BackToSchool_24</v>
          </cell>
          <cell r="E1374" t="str">
            <v>EG</v>
          </cell>
          <cell r="F1374" t="str">
            <v>YouTube</v>
          </cell>
          <cell r="G1374">
            <v>9497</v>
          </cell>
          <cell r="H1374">
            <v>548144</v>
          </cell>
          <cell r="I1374">
            <v>192827</v>
          </cell>
          <cell r="J1374">
            <v>1152</v>
          </cell>
        </row>
        <row r="1375">
          <cell r="A1375" t="str">
            <v>BackToSchool_24EGSocial</v>
          </cell>
          <cell r="B1375">
            <v>45523</v>
          </cell>
          <cell r="C1375">
            <v>45523</v>
          </cell>
          <cell r="D1375" t="str">
            <v>BackToSchool_24</v>
          </cell>
          <cell r="E1375" t="str">
            <v>EG</v>
          </cell>
          <cell r="F1375" t="str">
            <v>Social</v>
          </cell>
          <cell r="G1375">
            <v>12744</v>
          </cell>
          <cell r="H1375">
            <v>648117</v>
          </cell>
          <cell r="I1375">
            <v>274297</v>
          </cell>
          <cell r="J1375">
            <v>1622</v>
          </cell>
        </row>
        <row r="1376">
          <cell r="A1376" t="str">
            <v>BackToSchool_24EGDisplay</v>
          </cell>
          <cell r="B1376">
            <v>45523</v>
          </cell>
          <cell r="C1376">
            <v>45523</v>
          </cell>
          <cell r="D1376" t="str">
            <v>BackToSchool_24</v>
          </cell>
          <cell r="E1376" t="str">
            <v>EG</v>
          </cell>
          <cell r="F1376" t="str">
            <v>Display</v>
          </cell>
          <cell r="G1376">
            <v>6375</v>
          </cell>
          <cell r="H1376">
            <v>1511960</v>
          </cell>
          <cell r="I1376">
            <v>315520</v>
          </cell>
          <cell r="J1376">
            <v>195</v>
          </cell>
        </row>
        <row r="1377">
          <cell r="A1377" t="str">
            <v>BackToSchool_24EGSearch</v>
          </cell>
          <cell r="B1377">
            <v>45523</v>
          </cell>
          <cell r="C1377">
            <v>45523</v>
          </cell>
          <cell r="D1377" t="str">
            <v>BackToSchool_24</v>
          </cell>
          <cell r="E1377" t="str">
            <v>EG</v>
          </cell>
          <cell r="F1377" t="str">
            <v>Search</v>
          </cell>
          <cell r="G1377">
            <v>11930</v>
          </cell>
          <cell r="H1377">
            <v>150970</v>
          </cell>
          <cell r="I1377">
            <v>127855</v>
          </cell>
          <cell r="J1377">
            <v>3588</v>
          </cell>
        </row>
        <row r="1378">
          <cell r="A1378" t="str">
            <v>BackToSchool_24UKYouTube</v>
          </cell>
          <cell r="B1378">
            <v>45530</v>
          </cell>
          <cell r="C1378">
            <v>45530</v>
          </cell>
          <cell r="D1378" t="str">
            <v>BackToSchool_24</v>
          </cell>
          <cell r="E1378" t="str">
            <v>UK</v>
          </cell>
          <cell r="F1378" t="str">
            <v>YouTube</v>
          </cell>
          <cell r="G1378">
            <v>13941</v>
          </cell>
          <cell r="H1378">
            <v>950365</v>
          </cell>
          <cell r="I1378">
            <v>471789</v>
          </cell>
          <cell r="J1378">
            <v>483</v>
          </cell>
        </row>
        <row r="1379">
          <cell r="A1379" t="str">
            <v>BackToSchool_24UKSocial</v>
          </cell>
          <cell r="B1379">
            <v>45530</v>
          </cell>
          <cell r="C1379">
            <v>45530</v>
          </cell>
          <cell r="D1379" t="str">
            <v>BackToSchool_24</v>
          </cell>
          <cell r="E1379" t="str">
            <v>UK</v>
          </cell>
          <cell r="F1379" t="str">
            <v>Social</v>
          </cell>
          <cell r="G1379">
            <v>20998</v>
          </cell>
          <cell r="H1379">
            <v>1626710</v>
          </cell>
          <cell r="I1379">
            <v>547725</v>
          </cell>
          <cell r="J1379">
            <v>676</v>
          </cell>
        </row>
        <row r="1380">
          <cell r="A1380" t="str">
            <v>BackToSchool_24UKDisplay</v>
          </cell>
          <cell r="B1380">
            <v>45530</v>
          </cell>
          <cell r="C1380">
            <v>45530</v>
          </cell>
          <cell r="D1380" t="str">
            <v>BackToSchool_24</v>
          </cell>
          <cell r="E1380" t="str">
            <v>UK</v>
          </cell>
          <cell r="F1380" t="str">
            <v>Display</v>
          </cell>
          <cell r="G1380">
            <v>10626</v>
          </cell>
          <cell r="H1380">
            <v>3041478</v>
          </cell>
          <cell r="I1380">
            <v>696466</v>
          </cell>
          <cell r="J1380">
            <v>92</v>
          </cell>
        </row>
        <row r="1381">
          <cell r="A1381" t="str">
            <v>BackToSchool_24UKSearch</v>
          </cell>
          <cell r="B1381">
            <v>45530</v>
          </cell>
          <cell r="C1381">
            <v>45530</v>
          </cell>
          <cell r="D1381" t="str">
            <v>BackToSchool_24</v>
          </cell>
          <cell r="E1381" t="str">
            <v>UK</v>
          </cell>
          <cell r="F1381" t="str">
            <v>Search</v>
          </cell>
          <cell r="G1381">
            <v>11094</v>
          </cell>
          <cell r="H1381">
            <v>135419</v>
          </cell>
          <cell r="I1381">
            <v>119803</v>
          </cell>
          <cell r="J1381">
            <v>901</v>
          </cell>
        </row>
        <row r="1382">
          <cell r="A1382" t="str">
            <v>BackToSchool_24DEYouTube</v>
          </cell>
          <cell r="B1382">
            <v>45530</v>
          </cell>
          <cell r="C1382">
            <v>45530</v>
          </cell>
          <cell r="D1382" t="str">
            <v>BackToSchool_24</v>
          </cell>
          <cell r="E1382" t="str">
            <v>DE</v>
          </cell>
          <cell r="F1382" t="str">
            <v>YouTube</v>
          </cell>
          <cell r="G1382">
            <v>20140</v>
          </cell>
          <cell r="H1382">
            <v>1650796</v>
          </cell>
          <cell r="I1382">
            <v>821046</v>
          </cell>
          <cell r="J1382">
            <v>668</v>
          </cell>
        </row>
        <row r="1383">
          <cell r="A1383" t="str">
            <v>BackToSchool_24DESocial</v>
          </cell>
          <cell r="B1383">
            <v>45530</v>
          </cell>
          <cell r="C1383">
            <v>45530</v>
          </cell>
          <cell r="D1383" t="str">
            <v>BackToSchool_24</v>
          </cell>
          <cell r="E1383" t="str">
            <v>DE</v>
          </cell>
          <cell r="F1383" t="str">
            <v>Social</v>
          </cell>
          <cell r="G1383">
            <v>14721</v>
          </cell>
          <cell r="H1383">
            <v>744173</v>
          </cell>
          <cell r="I1383">
            <v>279844</v>
          </cell>
          <cell r="J1383">
            <v>493</v>
          </cell>
        </row>
        <row r="1384">
          <cell r="A1384" t="str">
            <v>BackToSchool_24DEDisplay</v>
          </cell>
          <cell r="B1384">
            <v>45530</v>
          </cell>
          <cell r="C1384">
            <v>45530</v>
          </cell>
          <cell r="D1384" t="str">
            <v>BackToSchool_24</v>
          </cell>
          <cell r="E1384" t="str">
            <v>DE</v>
          </cell>
          <cell r="F1384" t="str">
            <v>Display</v>
          </cell>
          <cell r="G1384">
            <v>14569</v>
          </cell>
          <cell r="H1384">
            <v>3008687</v>
          </cell>
          <cell r="I1384">
            <v>510720</v>
          </cell>
          <cell r="J1384">
            <v>117</v>
          </cell>
        </row>
        <row r="1385">
          <cell r="A1385" t="str">
            <v>BackToSchool_24DESearch</v>
          </cell>
          <cell r="B1385">
            <v>45530</v>
          </cell>
          <cell r="C1385">
            <v>45530</v>
          </cell>
          <cell r="D1385" t="str">
            <v>BackToSchool_24</v>
          </cell>
          <cell r="E1385" t="str">
            <v>DE</v>
          </cell>
          <cell r="F1385" t="str">
            <v>Search</v>
          </cell>
          <cell r="G1385">
            <v>12045</v>
          </cell>
          <cell r="H1385">
            <v>122022</v>
          </cell>
          <cell r="I1385">
            <v>102345</v>
          </cell>
          <cell r="J1385">
            <v>1050</v>
          </cell>
        </row>
        <row r="1386">
          <cell r="A1386" t="str">
            <v>BackToSchool_24SAYouTube</v>
          </cell>
          <cell r="B1386">
            <v>45530</v>
          </cell>
          <cell r="C1386">
            <v>45530</v>
          </cell>
          <cell r="D1386" t="str">
            <v>BackToSchool_24</v>
          </cell>
          <cell r="E1386" t="str">
            <v>SA</v>
          </cell>
          <cell r="F1386" t="str">
            <v>YouTube</v>
          </cell>
          <cell r="G1386">
            <v>16385</v>
          </cell>
          <cell r="H1386">
            <v>910088</v>
          </cell>
          <cell r="I1386">
            <v>347047</v>
          </cell>
          <cell r="J1386">
            <v>2218</v>
          </cell>
        </row>
        <row r="1387">
          <cell r="A1387" t="str">
            <v>BackToSchool_24SASocial</v>
          </cell>
          <cell r="B1387">
            <v>45530</v>
          </cell>
          <cell r="C1387">
            <v>45530</v>
          </cell>
          <cell r="D1387" t="str">
            <v>BackToSchool_24</v>
          </cell>
          <cell r="E1387" t="str">
            <v>SA</v>
          </cell>
          <cell r="F1387" t="str">
            <v>Social</v>
          </cell>
          <cell r="G1387">
            <v>8011</v>
          </cell>
          <cell r="H1387">
            <v>501814</v>
          </cell>
          <cell r="I1387">
            <v>184790</v>
          </cell>
          <cell r="J1387">
            <v>1044</v>
          </cell>
        </row>
        <row r="1388">
          <cell r="A1388" t="str">
            <v>BackToSchool_24SADisplay</v>
          </cell>
          <cell r="B1388">
            <v>45530</v>
          </cell>
          <cell r="C1388">
            <v>45530</v>
          </cell>
          <cell r="D1388" t="str">
            <v>BackToSchool_24</v>
          </cell>
          <cell r="E1388" t="str">
            <v>SA</v>
          </cell>
          <cell r="F1388" t="str">
            <v>Display</v>
          </cell>
          <cell r="G1388">
            <v>4764</v>
          </cell>
          <cell r="H1388">
            <v>1048458</v>
          </cell>
          <cell r="I1388">
            <v>195610</v>
          </cell>
          <cell r="J1388">
            <v>152</v>
          </cell>
        </row>
        <row r="1389">
          <cell r="A1389" t="str">
            <v>BackToSchool_24SASearch</v>
          </cell>
          <cell r="B1389">
            <v>45530</v>
          </cell>
          <cell r="C1389">
            <v>45530</v>
          </cell>
          <cell r="D1389" t="str">
            <v>BackToSchool_24</v>
          </cell>
          <cell r="E1389" t="str">
            <v>SA</v>
          </cell>
          <cell r="F1389" t="str">
            <v>Search</v>
          </cell>
          <cell r="G1389">
            <v>12445</v>
          </cell>
          <cell r="H1389">
            <v>131753</v>
          </cell>
          <cell r="I1389">
            <v>119244</v>
          </cell>
          <cell r="J1389">
            <v>3548</v>
          </cell>
        </row>
        <row r="1390">
          <cell r="A1390" t="str">
            <v>BackToSchool_24EGYouTube</v>
          </cell>
          <cell r="B1390">
            <v>45530</v>
          </cell>
          <cell r="C1390">
            <v>45530</v>
          </cell>
          <cell r="D1390" t="str">
            <v>BackToSchool_24</v>
          </cell>
          <cell r="E1390" t="str">
            <v>EG</v>
          </cell>
          <cell r="F1390" t="str">
            <v>YouTube</v>
          </cell>
          <cell r="G1390">
            <v>8129</v>
          </cell>
          <cell r="H1390">
            <v>546808</v>
          </cell>
          <cell r="I1390">
            <v>252974</v>
          </cell>
          <cell r="J1390">
            <v>1011</v>
          </cell>
        </row>
        <row r="1391">
          <cell r="A1391" t="str">
            <v>BackToSchool_24EGSocial</v>
          </cell>
          <cell r="B1391">
            <v>45530</v>
          </cell>
          <cell r="C1391">
            <v>45530</v>
          </cell>
          <cell r="D1391" t="str">
            <v>BackToSchool_24</v>
          </cell>
          <cell r="E1391" t="str">
            <v>EG</v>
          </cell>
          <cell r="F1391" t="str">
            <v>Social</v>
          </cell>
          <cell r="G1391">
            <v>11801</v>
          </cell>
          <cell r="H1391">
            <v>704703</v>
          </cell>
          <cell r="I1391">
            <v>348355</v>
          </cell>
          <cell r="J1391">
            <v>1427</v>
          </cell>
        </row>
        <row r="1392">
          <cell r="A1392" t="str">
            <v>BackToSchool_24EGDisplay</v>
          </cell>
          <cell r="B1392">
            <v>45530</v>
          </cell>
          <cell r="C1392">
            <v>45530</v>
          </cell>
          <cell r="D1392" t="str">
            <v>BackToSchool_24</v>
          </cell>
          <cell r="E1392" t="str">
            <v>EG</v>
          </cell>
          <cell r="F1392" t="str">
            <v>Display</v>
          </cell>
          <cell r="G1392">
            <v>7807</v>
          </cell>
          <cell r="H1392">
            <v>2164271</v>
          </cell>
          <cell r="I1392">
            <v>397280</v>
          </cell>
          <cell r="J1392">
            <v>261</v>
          </cell>
        </row>
        <row r="1393">
          <cell r="A1393" t="str">
            <v>BackToSchool_24EGSearch</v>
          </cell>
          <cell r="B1393">
            <v>45530</v>
          </cell>
          <cell r="C1393">
            <v>45530</v>
          </cell>
          <cell r="D1393" t="str">
            <v>BackToSchool_24</v>
          </cell>
          <cell r="E1393" t="str">
            <v>EG</v>
          </cell>
          <cell r="F1393" t="str">
            <v>Search</v>
          </cell>
          <cell r="G1393">
            <v>7068</v>
          </cell>
          <cell r="H1393">
            <v>79423</v>
          </cell>
          <cell r="I1393">
            <v>66802</v>
          </cell>
          <cell r="J1393">
            <v>2333</v>
          </cell>
        </row>
        <row r="1394">
          <cell r="A1394" t="str">
            <v>BackToSchool_24UKYouTube</v>
          </cell>
          <cell r="B1394">
            <v>45537</v>
          </cell>
          <cell r="C1394">
            <v>45537</v>
          </cell>
          <cell r="D1394" t="str">
            <v>BackToSchool_24</v>
          </cell>
          <cell r="E1394" t="str">
            <v>UK</v>
          </cell>
          <cell r="F1394" t="str">
            <v>YouTube</v>
          </cell>
          <cell r="G1394">
            <v>12573</v>
          </cell>
          <cell r="H1394">
            <v>964923</v>
          </cell>
          <cell r="I1394">
            <v>322675</v>
          </cell>
          <cell r="J1394">
            <v>457</v>
          </cell>
        </row>
        <row r="1395">
          <cell r="A1395" t="str">
            <v>BackToSchool_24UKSocial</v>
          </cell>
          <cell r="B1395">
            <v>45537</v>
          </cell>
          <cell r="C1395">
            <v>45537</v>
          </cell>
          <cell r="D1395" t="str">
            <v>BackToSchool_24</v>
          </cell>
          <cell r="E1395" t="str">
            <v>UK</v>
          </cell>
          <cell r="F1395" t="str">
            <v>Social</v>
          </cell>
          <cell r="G1395">
            <v>26049</v>
          </cell>
          <cell r="H1395">
            <v>2147952</v>
          </cell>
          <cell r="I1395">
            <v>972942</v>
          </cell>
          <cell r="J1395">
            <v>936</v>
          </cell>
        </row>
        <row r="1396">
          <cell r="A1396" t="str">
            <v>BackToSchool_24UKDisplay</v>
          </cell>
          <cell r="B1396">
            <v>45537</v>
          </cell>
          <cell r="C1396">
            <v>45537</v>
          </cell>
          <cell r="D1396" t="str">
            <v>BackToSchool_24</v>
          </cell>
          <cell r="E1396" t="str">
            <v>UK</v>
          </cell>
          <cell r="F1396" t="str">
            <v>Display</v>
          </cell>
          <cell r="G1396">
            <v>16120</v>
          </cell>
          <cell r="H1396">
            <v>3637539</v>
          </cell>
          <cell r="I1396">
            <v>624870</v>
          </cell>
          <cell r="J1396">
            <v>142</v>
          </cell>
        </row>
        <row r="1397">
          <cell r="A1397" t="str">
            <v>BackToSchool_24UKSearch</v>
          </cell>
          <cell r="B1397">
            <v>45537</v>
          </cell>
          <cell r="C1397">
            <v>45537</v>
          </cell>
          <cell r="D1397" t="str">
            <v>BackToSchool_24</v>
          </cell>
          <cell r="E1397" t="str">
            <v>UK</v>
          </cell>
          <cell r="F1397" t="str">
            <v>Search</v>
          </cell>
          <cell r="G1397">
            <v>22060</v>
          </cell>
          <cell r="H1397">
            <v>287554</v>
          </cell>
          <cell r="I1397">
            <v>247412</v>
          </cell>
          <cell r="J1397">
            <v>1679</v>
          </cell>
        </row>
        <row r="1398">
          <cell r="A1398" t="str">
            <v>BackToSchool_24DEYouTube</v>
          </cell>
          <cell r="B1398">
            <v>45537</v>
          </cell>
          <cell r="C1398">
            <v>45537</v>
          </cell>
          <cell r="D1398" t="str">
            <v>BackToSchool_24</v>
          </cell>
          <cell r="E1398" t="str">
            <v>DE</v>
          </cell>
          <cell r="F1398" t="str">
            <v>YouTube</v>
          </cell>
          <cell r="G1398">
            <v>20264</v>
          </cell>
          <cell r="H1398">
            <v>1415598</v>
          </cell>
          <cell r="I1398">
            <v>553518</v>
          </cell>
          <cell r="J1398">
            <v>689</v>
          </cell>
        </row>
        <row r="1399">
          <cell r="A1399" t="str">
            <v>BackToSchool_24DESocial</v>
          </cell>
          <cell r="B1399">
            <v>45537</v>
          </cell>
          <cell r="C1399">
            <v>45537</v>
          </cell>
          <cell r="D1399" t="str">
            <v>BackToSchool_24</v>
          </cell>
          <cell r="E1399" t="str">
            <v>DE</v>
          </cell>
          <cell r="F1399" t="str">
            <v>Social</v>
          </cell>
          <cell r="G1399">
            <v>26799</v>
          </cell>
          <cell r="H1399">
            <v>2150150</v>
          </cell>
          <cell r="I1399">
            <v>893801</v>
          </cell>
          <cell r="J1399">
            <v>903</v>
          </cell>
        </row>
        <row r="1400">
          <cell r="A1400" t="str">
            <v>BackToSchool_24DEDisplay</v>
          </cell>
          <cell r="B1400">
            <v>45537</v>
          </cell>
          <cell r="C1400">
            <v>45537</v>
          </cell>
          <cell r="D1400" t="str">
            <v>BackToSchool_24</v>
          </cell>
          <cell r="E1400" t="str">
            <v>DE</v>
          </cell>
          <cell r="F1400" t="str">
            <v>Display</v>
          </cell>
          <cell r="G1400">
            <v>6258</v>
          </cell>
          <cell r="H1400">
            <v>1796007</v>
          </cell>
          <cell r="I1400">
            <v>412168</v>
          </cell>
          <cell r="J1400">
            <v>52</v>
          </cell>
        </row>
        <row r="1401">
          <cell r="A1401" t="str">
            <v>BackToSchool_24DESearch</v>
          </cell>
          <cell r="B1401">
            <v>45537</v>
          </cell>
          <cell r="C1401">
            <v>45537</v>
          </cell>
          <cell r="D1401" t="str">
            <v>BackToSchool_24</v>
          </cell>
          <cell r="E1401" t="str">
            <v>DE</v>
          </cell>
          <cell r="F1401" t="str">
            <v>Search</v>
          </cell>
          <cell r="G1401">
            <v>15280</v>
          </cell>
          <cell r="H1401">
            <v>172836</v>
          </cell>
          <cell r="I1401">
            <v>153507</v>
          </cell>
          <cell r="J1401">
            <v>1160</v>
          </cell>
        </row>
        <row r="1402">
          <cell r="A1402" t="str">
            <v>BackToSchool_24SAYouTube</v>
          </cell>
          <cell r="B1402">
            <v>45537</v>
          </cell>
          <cell r="C1402">
            <v>45537</v>
          </cell>
          <cell r="D1402" t="str">
            <v>BackToSchool_24</v>
          </cell>
          <cell r="E1402" t="str">
            <v>SA</v>
          </cell>
          <cell r="F1402" t="str">
            <v>YouTube</v>
          </cell>
          <cell r="G1402">
            <v>11802</v>
          </cell>
          <cell r="H1402">
            <v>890248</v>
          </cell>
          <cell r="I1402">
            <v>313500</v>
          </cell>
          <cell r="J1402">
            <v>1523</v>
          </cell>
        </row>
        <row r="1403">
          <cell r="A1403" t="str">
            <v>BackToSchool_24SASocial</v>
          </cell>
          <cell r="B1403">
            <v>45537</v>
          </cell>
          <cell r="C1403">
            <v>45537</v>
          </cell>
          <cell r="D1403" t="str">
            <v>BackToSchool_24</v>
          </cell>
          <cell r="E1403" t="str">
            <v>SA</v>
          </cell>
          <cell r="F1403" t="str">
            <v>Social</v>
          </cell>
          <cell r="G1403">
            <v>8848</v>
          </cell>
          <cell r="H1403">
            <v>459671</v>
          </cell>
          <cell r="I1403">
            <v>153428</v>
          </cell>
          <cell r="J1403">
            <v>1057</v>
          </cell>
        </row>
        <row r="1404">
          <cell r="A1404" t="str">
            <v>BackToSchool_24SADisplay</v>
          </cell>
          <cell r="B1404">
            <v>45537</v>
          </cell>
          <cell r="C1404">
            <v>45537</v>
          </cell>
          <cell r="D1404" t="str">
            <v>BackToSchool_24</v>
          </cell>
          <cell r="E1404" t="str">
            <v>SA</v>
          </cell>
          <cell r="F1404" t="str">
            <v>Display</v>
          </cell>
          <cell r="G1404">
            <v>7444</v>
          </cell>
          <cell r="H1404">
            <v>1563035</v>
          </cell>
          <cell r="I1404">
            <v>276372</v>
          </cell>
          <cell r="J1404">
            <v>257</v>
          </cell>
        </row>
        <row r="1405">
          <cell r="A1405" t="str">
            <v>BackToSchool_24SASearch</v>
          </cell>
          <cell r="B1405">
            <v>45537</v>
          </cell>
          <cell r="C1405">
            <v>45537</v>
          </cell>
          <cell r="D1405" t="str">
            <v>BackToSchool_24</v>
          </cell>
          <cell r="E1405" t="str">
            <v>SA</v>
          </cell>
          <cell r="F1405" t="str">
            <v>Search</v>
          </cell>
          <cell r="G1405">
            <v>11714</v>
          </cell>
          <cell r="H1405">
            <v>161766</v>
          </cell>
          <cell r="I1405">
            <v>140515</v>
          </cell>
          <cell r="J1405">
            <v>3688</v>
          </cell>
        </row>
        <row r="1406">
          <cell r="A1406" t="str">
            <v>BackToSchool_24EGYouTube</v>
          </cell>
          <cell r="B1406">
            <v>45537</v>
          </cell>
          <cell r="C1406">
            <v>45537</v>
          </cell>
          <cell r="D1406" t="str">
            <v>BackToSchool_24</v>
          </cell>
          <cell r="E1406" t="str">
            <v>EG</v>
          </cell>
          <cell r="F1406" t="str">
            <v>YouTube</v>
          </cell>
          <cell r="G1406">
            <v>16556</v>
          </cell>
          <cell r="H1406">
            <v>1361905</v>
          </cell>
          <cell r="I1406">
            <v>525014</v>
          </cell>
          <cell r="J1406">
            <v>2061</v>
          </cell>
        </row>
        <row r="1407">
          <cell r="A1407" t="str">
            <v>BackToSchool_24EGSocial</v>
          </cell>
          <cell r="B1407">
            <v>45537</v>
          </cell>
          <cell r="C1407">
            <v>45537</v>
          </cell>
          <cell r="D1407" t="str">
            <v>BackToSchool_24</v>
          </cell>
          <cell r="E1407" t="str">
            <v>EG</v>
          </cell>
          <cell r="F1407" t="str">
            <v>Social</v>
          </cell>
          <cell r="G1407">
            <v>14452</v>
          </cell>
          <cell r="H1407">
            <v>1100529</v>
          </cell>
          <cell r="I1407">
            <v>406910</v>
          </cell>
          <cell r="J1407">
            <v>1864</v>
          </cell>
        </row>
        <row r="1408">
          <cell r="A1408" t="str">
            <v>BackToSchool_24EGDisplay</v>
          </cell>
          <cell r="B1408">
            <v>45537</v>
          </cell>
          <cell r="C1408">
            <v>45537</v>
          </cell>
          <cell r="D1408" t="str">
            <v>BackToSchool_24</v>
          </cell>
          <cell r="E1408" t="str">
            <v>EG</v>
          </cell>
          <cell r="F1408" t="str">
            <v>Display</v>
          </cell>
          <cell r="G1408">
            <v>9007</v>
          </cell>
          <cell r="H1408">
            <v>2656713</v>
          </cell>
          <cell r="I1408">
            <v>488478</v>
          </cell>
          <cell r="J1408">
            <v>257</v>
          </cell>
        </row>
        <row r="1409">
          <cell r="A1409" t="str">
            <v>BackToSchool_24EGSearch</v>
          </cell>
          <cell r="B1409">
            <v>45537</v>
          </cell>
          <cell r="C1409">
            <v>45537</v>
          </cell>
          <cell r="D1409" t="str">
            <v>BackToSchool_24</v>
          </cell>
          <cell r="E1409" t="str">
            <v>EG</v>
          </cell>
          <cell r="F1409" t="str">
            <v>Search</v>
          </cell>
          <cell r="G1409">
            <v>11849</v>
          </cell>
          <cell r="H1409">
            <v>144422</v>
          </cell>
          <cell r="I1409">
            <v>127537</v>
          </cell>
          <cell r="J1409">
            <v>3547</v>
          </cell>
        </row>
        <row r="1410">
          <cell r="A1410" t="str">
            <v>BackToSchool_24UKYouTube</v>
          </cell>
          <cell r="B1410">
            <v>45544</v>
          </cell>
          <cell r="C1410">
            <v>45544</v>
          </cell>
          <cell r="D1410" t="str">
            <v>BackToSchool_24</v>
          </cell>
          <cell r="E1410" t="str">
            <v>UK</v>
          </cell>
          <cell r="F1410" t="str">
            <v>YouTube</v>
          </cell>
          <cell r="G1410">
            <v>11461</v>
          </cell>
          <cell r="H1410">
            <v>679658</v>
          </cell>
          <cell r="I1410">
            <v>319448</v>
          </cell>
          <cell r="J1410">
            <v>388</v>
          </cell>
        </row>
        <row r="1411">
          <cell r="A1411" t="str">
            <v>BackToSchool_24UKSocial</v>
          </cell>
          <cell r="B1411">
            <v>45544</v>
          </cell>
          <cell r="C1411">
            <v>45544</v>
          </cell>
          <cell r="D1411" t="str">
            <v>BackToSchool_24</v>
          </cell>
          <cell r="E1411" t="str">
            <v>UK</v>
          </cell>
          <cell r="F1411" t="str">
            <v>Social</v>
          </cell>
          <cell r="G1411">
            <v>19352</v>
          </cell>
          <cell r="H1411">
            <v>1304162</v>
          </cell>
          <cell r="I1411">
            <v>596443</v>
          </cell>
          <cell r="J1411">
            <v>612</v>
          </cell>
        </row>
        <row r="1412">
          <cell r="A1412" t="str">
            <v>BackToSchool_24UKDisplay</v>
          </cell>
          <cell r="B1412">
            <v>45544</v>
          </cell>
          <cell r="C1412">
            <v>45544</v>
          </cell>
          <cell r="D1412" t="str">
            <v>BackToSchool_24</v>
          </cell>
          <cell r="E1412" t="str">
            <v>UK</v>
          </cell>
          <cell r="F1412" t="str">
            <v>Display</v>
          </cell>
          <cell r="G1412">
            <v>9130</v>
          </cell>
          <cell r="H1412">
            <v>2561875</v>
          </cell>
          <cell r="I1412">
            <v>516109</v>
          </cell>
          <cell r="J1412">
            <v>83</v>
          </cell>
        </row>
        <row r="1413">
          <cell r="A1413" t="str">
            <v>BackToSchool_24UKSearch</v>
          </cell>
          <cell r="B1413">
            <v>45544</v>
          </cell>
          <cell r="C1413">
            <v>45544</v>
          </cell>
          <cell r="D1413" t="str">
            <v>BackToSchool_24</v>
          </cell>
          <cell r="E1413" t="str">
            <v>UK</v>
          </cell>
          <cell r="F1413" t="str">
            <v>Search</v>
          </cell>
          <cell r="G1413">
            <v>22735</v>
          </cell>
          <cell r="H1413">
            <v>283286</v>
          </cell>
          <cell r="I1413">
            <v>237018</v>
          </cell>
          <cell r="J1413">
            <v>1736</v>
          </cell>
        </row>
        <row r="1414">
          <cell r="A1414" t="str">
            <v>BackToSchool_24DEYouTube</v>
          </cell>
          <cell r="B1414">
            <v>45544</v>
          </cell>
          <cell r="C1414">
            <v>45544</v>
          </cell>
          <cell r="D1414" t="str">
            <v>BackToSchool_24</v>
          </cell>
          <cell r="E1414" t="str">
            <v>DE</v>
          </cell>
          <cell r="F1414" t="str">
            <v>YouTube</v>
          </cell>
          <cell r="G1414">
            <v>13587</v>
          </cell>
          <cell r="H1414">
            <v>1099300</v>
          </cell>
          <cell r="I1414">
            <v>394849</v>
          </cell>
          <cell r="J1414">
            <v>468</v>
          </cell>
        </row>
        <row r="1415">
          <cell r="A1415" t="str">
            <v>BackToSchool_24DESocial</v>
          </cell>
          <cell r="B1415">
            <v>45544</v>
          </cell>
          <cell r="C1415">
            <v>45544</v>
          </cell>
          <cell r="D1415" t="str">
            <v>BackToSchool_24</v>
          </cell>
          <cell r="E1415" t="str">
            <v>DE</v>
          </cell>
          <cell r="F1415" t="str">
            <v>Social</v>
          </cell>
          <cell r="G1415">
            <v>15217</v>
          </cell>
          <cell r="H1415">
            <v>792549</v>
          </cell>
          <cell r="I1415">
            <v>309018</v>
          </cell>
          <cell r="J1415">
            <v>540</v>
          </cell>
        </row>
        <row r="1416">
          <cell r="A1416" t="str">
            <v>BackToSchool_24DEDisplay</v>
          </cell>
          <cell r="B1416">
            <v>45544</v>
          </cell>
          <cell r="C1416">
            <v>45544</v>
          </cell>
          <cell r="D1416" t="str">
            <v>BackToSchool_24</v>
          </cell>
          <cell r="E1416" t="str">
            <v>DE</v>
          </cell>
          <cell r="F1416" t="str">
            <v>Display</v>
          </cell>
          <cell r="G1416">
            <v>8429</v>
          </cell>
          <cell r="H1416">
            <v>1823283</v>
          </cell>
          <cell r="I1416">
            <v>397633</v>
          </cell>
          <cell r="J1416">
            <v>74</v>
          </cell>
        </row>
        <row r="1417">
          <cell r="A1417" t="str">
            <v>BackToSchool_24DESearch</v>
          </cell>
          <cell r="B1417">
            <v>45544</v>
          </cell>
          <cell r="C1417">
            <v>45544</v>
          </cell>
          <cell r="D1417" t="str">
            <v>BackToSchool_24</v>
          </cell>
          <cell r="E1417" t="str">
            <v>DE</v>
          </cell>
          <cell r="F1417" t="str">
            <v>Search</v>
          </cell>
          <cell r="G1417">
            <v>16907</v>
          </cell>
          <cell r="H1417">
            <v>184406</v>
          </cell>
          <cell r="I1417">
            <v>164150</v>
          </cell>
          <cell r="J1417">
            <v>1479</v>
          </cell>
        </row>
        <row r="1418">
          <cell r="A1418" t="str">
            <v>BackToSchool_24SAYouTube</v>
          </cell>
          <cell r="B1418">
            <v>45544</v>
          </cell>
          <cell r="C1418">
            <v>45544</v>
          </cell>
          <cell r="D1418" t="str">
            <v>BackToSchool_24</v>
          </cell>
          <cell r="E1418" t="str">
            <v>SA</v>
          </cell>
          <cell r="F1418" t="str">
            <v>YouTube</v>
          </cell>
          <cell r="G1418">
            <v>15122</v>
          </cell>
          <cell r="H1418">
            <v>1264602</v>
          </cell>
          <cell r="I1418">
            <v>474050</v>
          </cell>
          <cell r="J1418">
            <v>1823</v>
          </cell>
        </row>
        <row r="1419">
          <cell r="A1419" t="str">
            <v>BackToSchool_24SASocial</v>
          </cell>
          <cell r="B1419">
            <v>45544</v>
          </cell>
          <cell r="C1419">
            <v>45544</v>
          </cell>
          <cell r="D1419" t="str">
            <v>BackToSchool_24</v>
          </cell>
          <cell r="E1419" t="str">
            <v>SA</v>
          </cell>
          <cell r="F1419" t="str">
            <v>Social</v>
          </cell>
          <cell r="G1419">
            <v>9041</v>
          </cell>
          <cell r="H1419">
            <v>752912</v>
          </cell>
          <cell r="I1419">
            <v>314444</v>
          </cell>
          <cell r="J1419">
            <v>1254</v>
          </cell>
        </row>
        <row r="1420">
          <cell r="A1420" t="str">
            <v>BackToSchool_24SADisplay</v>
          </cell>
          <cell r="B1420">
            <v>45544</v>
          </cell>
          <cell r="C1420">
            <v>45544</v>
          </cell>
          <cell r="D1420" t="str">
            <v>BackToSchool_24</v>
          </cell>
          <cell r="E1420" t="str">
            <v>SA</v>
          </cell>
          <cell r="F1420" t="str">
            <v>Display</v>
          </cell>
          <cell r="G1420">
            <v>5147</v>
          </cell>
          <cell r="H1420">
            <v>1414358</v>
          </cell>
          <cell r="I1420">
            <v>343123</v>
          </cell>
          <cell r="J1420">
            <v>175</v>
          </cell>
        </row>
        <row r="1421">
          <cell r="A1421" t="str">
            <v>BackToSchool_24SASearch</v>
          </cell>
          <cell r="B1421">
            <v>45544</v>
          </cell>
          <cell r="C1421">
            <v>45544</v>
          </cell>
          <cell r="D1421" t="str">
            <v>BackToSchool_24</v>
          </cell>
          <cell r="E1421" t="str">
            <v>SA</v>
          </cell>
          <cell r="F1421" t="str">
            <v>Search</v>
          </cell>
          <cell r="G1421">
            <v>8519</v>
          </cell>
          <cell r="H1421">
            <v>95682</v>
          </cell>
          <cell r="I1421">
            <v>80729</v>
          </cell>
          <cell r="J1421">
            <v>2517</v>
          </cell>
        </row>
        <row r="1422">
          <cell r="A1422" t="str">
            <v>BackToSchool_24EGYouTube</v>
          </cell>
          <cell r="B1422">
            <v>45544</v>
          </cell>
          <cell r="C1422">
            <v>45544</v>
          </cell>
          <cell r="D1422" t="str">
            <v>BackToSchool_24</v>
          </cell>
          <cell r="E1422" t="str">
            <v>EG</v>
          </cell>
          <cell r="F1422" t="str">
            <v>YouTube</v>
          </cell>
          <cell r="G1422">
            <v>7419</v>
          </cell>
          <cell r="H1422">
            <v>476939</v>
          </cell>
          <cell r="I1422">
            <v>168354</v>
          </cell>
          <cell r="J1422">
            <v>939</v>
          </cell>
        </row>
        <row r="1423">
          <cell r="A1423" t="str">
            <v>BackToSchool_24EGSocial</v>
          </cell>
          <cell r="B1423">
            <v>45544</v>
          </cell>
          <cell r="C1423">
            <v>45544</v>
          </cell>
          <cell r="D1423" t="str">
            <v>BackToSchool_24</v>
          </cell>
          <cell r="E1423" t="str">
            <v>EG</v>
          </cell>
          <cell r="F1423" t="str">
            <v>Social</v>
          </cell>
          <cell r="G1423">
            <v>12188</v>
          </cell>
          <cell r="H1423">
            <v>784849</v>
          </cell>
          <cell r="I1423">
            <v>377705</v>
          </cell>
          <cell r="J1423">
            <v>1508</v>
          </cell>
        </row>
        <row r="1424">
          <cell r="A1424" t="str">
            <v>BackToSchool_24EGDisplay</v>
          </cell>
          <cell r="B1424">
            <v>45544</v>
          </cell>
          <cell r="C1424">
            <v>45544</v>
          </cell>
          <cell r="D1424" t="str">
            <v>BackToSchool_24</v>
          </cell>
          <cell r="E1424" t="str">
            <v>EG</v>
          </cell>
          <cell r="F1424" t="str">
            <v>Display</v>
          </cell>
          <cell r="G1424">
            <v>10460</v>
          </cell>
          <cell r="H1424">
            <v>2668355</v>
          </cell>
          <cell r="I1424">
            <v>594304</v>
          </cell>
          <cell r="J1424">
            <v>321</v>
          </cell>
        </row>
        <row r="1425">
          <cell r="A1425" t="str">
            <v>BackToSchool_24EGSearch</v>
          </cell>
          <cell r="B1425">
            <v>45544</v>
          </cell>
          <cell r="C1425">
            <v>45544</v>
          </cell>
          <cell r="D1425" t="str">
            <v>BackToSchool_24</v>
          </cell>
          <cell r="E1425" t="str">
            <v>EG</v>
          </cell>
          <cell r="F1425" t="str">
            <v>Search</v>
          </cell>
          <cell r="G1425">
            <v>17656</v>
          </cell>
          <cell r="H1425">
            <v>237608</v>
          </cell>
          <cell r="I1425">
            <v>199403</v>
          </cell>
          <cell r="J1425">
            <v>5578</v>
          </cell>
        </row>
        <row r="1426">
          <cell r="A1426" t="str">
            <v>BackToSchool_24UKYouTube</v>
          </cell>
          <cell r="B1426">
            <v>45551</v>
          </cell>
          <cell r="C1426">
            <v>45551</v>
          </cell>
          <cell r="D1426" t="str">
            <v>BackToSchool_24</v>
          </cell>
          <cell r="E1426" t="str">
            <v>UK</v>
          </cell>
          <cell r="F1426" t="str">
            <v>YouTube</v>
          </cell>
          <cell r="G1426">
            <v>15852</v>
          </cell>
          <cell r="H1426">
            <v>925858</v>
          </cell>
          <cell r="I1426">
            <v>437559</v>
          </cell>
          <cell r="J1426">
            <v>535</v>
          </cell>
        </row>
        <row r="1427">
          <cell r="A1427" t="str">
            <v>BackToSchool_24UKSocial</v>
          </cell>
          <cell r="B1427">
            <v>45551</v>
          </cell>
          <cell r="C1427">
            <v>45551</v>
          </cell>
          <cell r="D1427" t="str">
            <v>BackToSchool_24</v>
          </cell>
          <cell r="E1427" t="str">
            <v>UK</v>
          </cell>
          <cell r="F1427" t="str">
            <v>Social</v>
          </cell>
          <cell r="G1427">
            <v>24479</v>
          </cell>
          <cell r="H1427">
            <v>2060504</v>
          </cell>
          <cell r="I1427">
            <v>780877</v>
          </cell>
          <cell r="J1427">
            <v>858</v>
          </cell>
        </row>
        <row r="1428">
          <cell r="A1428" t="str">
            <v>BackToSchool_24UKDisplay</v>
          </cell>
          <cell r="B1428">
            <v>45551</v>
          </cell>
          <cell r="C1428">
            <v>45551</v>
          </cell>
          <cell r="D1428" t="str">
            <v>BackToSchool_24</v>
          </cell>
          <cell r="E1428" t="str">
            <v>UK</v>
          </cell>
          <cell r="F1428" t="str">
            <v>Display</v>
          </cell>
          <cell r="G1428">
            <v>6537</v>
          </cell>
          <cell r="H1428">
            <v>1493165</v>
          </cell>
          <cell r="I1428">
            <v>308938</v>
          </cell>
          <cell r="J1428">
            <v>59</v>
          </cell>
        </row>
        <row r="1429">
          <cell r="A1429" t="str">
            <v>BackToSchool_24UKSearch</v>
          </cell>
          <cell r="B1429">
            <v>45551</v>
          </cell>
          <cell r="C1429">
            <v>45551</v>
          </cell>
          <cell r="D1429" t="str">
            <v>BackToSchool_24</v>
          </cell>
          <cell r="E1429" t="str">
            <v>UK</v>
          </cell>
          <cell r="F1429" t="str">
            <v>Search</v>
          </cell>
          <cell r="G1429">
            <v>12295</v>
          </cell>
          <cell r="H1429">
            <v>163790</v>
          </cell>
          <cell r="I1429">
            <v>144804</v>
          </cell>
          <cell r="J1429">
            <v>947</v>
          </cell>
        </row>
        <row r="1430">
          <cell r="A1430" t="str">
            <v>BackToSchool_24DEYouTube</v>
          </cell>
          <cell r="B1430">
            <v>45551</v>
          </cell>
          <cell r="C1430">
            <v>45551</v>
          </cell>
          <cell r="D1430" t="str">
            <v>BackToSchool_24</v>
          </cell>
          <cell r="E1430" t="str">
            <v>DE</v>
          </cell>
          <cell r="F1430" t="str">
            <v>YouTube</v>
          </cell>
          <cell r="G1430">
            <v>20214</v>
          </cell>
          <cell r="H1430">
            <v>1029302</v>
          </cell>
          <cell r="I1430">
            <v>490066</v>
          </cell>
          <cell r="J1430">
            <v>680</v>
          </cell>
        </row>
        <row r="1431">
          <cell r="A1431" t="str">
            <v>BackToSchool_24DESocial</v>
          </cell>
          <cell r="B1431">
            <v>45551</v>
          </cell>
          <cell r="C1431">
            <v>45551</v>
          </cell>
          <cell r="D1431" t="str">
            <v>BackToSchool_24</v>
          </cell>
          <cell r="E1431" t="str">
            <v>DE</v>
          </cell>
          <cell r="F1431" t="str">
            <v>Social</v>
          </cell>
          <cell r="G1431">
            <v>18645</v>
          </cell>
          <cell r="H1431">
            <v>1324624</v>
          </cell>
          <cell r="I1431">
            <v>544633</v>
          </cell>
          <cell r="J1431">
            <v>574</v>
          </cell>
        </row>
        <row r="1432">
          <cell r="A1432" t="str">
            <v>BackToSchool_24DEDisplay</v>
          </cell>
          <cell r="B1432">
            <v>45551</v>
          </cell>
          <cell r="C1432">
            <v>45551</v>
          </cell>
          <cell r="D1432" t="str">
            <v>BackToSchool_24</v>
          </cell>
          <cell r="E1432" t="str">
            <v>DE</v>
          </cell>
          <cell r="F1432" t="str">
            <v>Display</v>
          </cell>
          <cell r="G1432">
            <v>7908</v>
          </cell>
          <cell r="H1432">
            <v>2194567</v>
          </cell>
          <cell r="I1432">
            <v>456209</v>
          </cell>
          <cell r="J1432">
            <v>68</v>
          </cell>
        </row>
        <row r="1433">
          <cell r="A1433" t="str">
            <v>BackToSchool_24DESearch</v>
          </cell>
          <cell r="B1433">
            <v>45551</v>
          </cell>
          <cell r="C1433">
            <v>45551</v>
          </cell>
          <cell r="D1433" t="str">
            <v>BackToSchool_24</v>
          </cell>
          <cell r="E1433" t="str">
            <v>DE</v>
          </cell>
          <cell r="F1433" t="str">
            <v>Search</v>
          </cell>
          <cell r="G1433">
            <v>19701</v>
          </cell>
          <cell r="H1433">
            <v>216428</v>
          </cell>
          <cell r="I1433">
            <v>193752</v>
          </cell>
          <cell r="J1433">
            <v>1568</v>
          </cell>
        </row>
        <row r="1434">
          <cell r="A1434" t="str">
            <v>BackToSchool_24SAYouTube</v>
          </cell>
          <cell r="B1434">
            <v>45551</v>
          </cell>
          <cell r="C1434">
            <v>45551</v>
          </cell>
          <cell r="D1434" t="str">
            <v>BackToSchool_24</v>
          </cell>
          <cell r="E1434" t="str">
            <v>SA</v>
          </cell>
          <cell r="F1434" t="str">
            <v>YouTube</v>
          </cell>
          <cell r="G1434">
            <v>13711</v>
          </cell>
          <cell r="H1434">
            <v>810847</v>
          </cell>
          <cell r="I1434">
            <v>283261</v>
          </cell>
          <cell r="J1434">
            <v>1676</v>
          </cell>
        </row>
        <row r="1435">
          <cell r="A1435" t="str">
            <v>BackToSchool_24SASocial</v>
          </cell>
          <cell r="B1435">
            <v>45551</v>
          </cell>
          <cell r="C1435">
            <v>45551</v>
          </cell>
          <cell r="D1435" t="str">
            <v>BackToSchool_24</v>
          </cell>
          <cell r="E1435" t="str">
            <v>SA</v>
          </cell>
          <cell r="F1435" t="str">
            <v>Social</v>
          </cell>
          <cell r="G1435">
            <v>17098</v>
          </cell>
          <cell r="H1435">
            <v>967537</v>
          </cell>
          <cell r="I1435">
            <v>406390</v>
          </cell>
          <cell r="J1435">
            <v>2333</v>
          </cell>
        </row>
        <row r="1436">
          <cell r="A1436" t="str">
            <v>BackToSchool_24SADisplay</v>
          </cell>
          <cell r="B1436">
            <v>45551</v>
          </cell>
          <cell r="C1436">
            <v>45551</v>
          </cell>
          <cell r="D1436" t="str">
            <v>BackToSchool_24</v>
          </cell>
          <cell r="E1436" t="str">
            <v>SA</v>
          </cell>
          <cell r="F1436" t="str">
            <v>Display</v>
          </cell>
          <cell r="G1436">
            <v>9695</v>
          </cell>
          <cell r="H1436">
            <v>2139795</v>
          </cell>
          <cell r="I1436">
            <v>389136</v>
          </cell>
          <cell r="J1436">
            <v>324</v>
          </cell>
        </row>
        <row r="1437">
          <cell r="A1437" t="str">
            <v>BackToSchool_24SASearch</v>
          </cell>
          <cell r="B1437">
            <v>45551</v>
          </cell>
          <cell r="C1437">
            <v>45551</v>
          </cell>
          <cell r="D1437" t="str">
            <v>BackToSchool_24</v>
          </cell>
          <cell r="E1437" t="str">
            <v>SA</v>
          </cell>
          <cell r="F1437" t="str">
            <v>Search</v>
          </cell>
          <cell r="G1437">
            <v>7105</v>
          </cell>
          <cell r="H1437">
            <v>76815</v>
          </cell>
          <cell r="I1437">
            <v>64116</v>
          </cell>
          <cell r="J1437">
            <v>2322</v>
          </cell>
        </row>
        <row r="1438">
          <cell r="A1438" t="str">
            <v>BackToSchool_24EGYouTube</v>
          </cell>
          <cell r="B1438">
            <v>45551</v>
          </cell>
          <cell r="C1438">
            <v>45551</v>
          </cell>
          <cell r="D1438" t="str">
            <v>BackToSchool_24</v>
          </cell>
          <cell r="E1438" t="str">
            <v>EG</v>
          </cell>
          <cell r="F1438" t="str">
            <v>YouTube</v>
          </cell>
          <cell r="G1438">
            <v>14896</v>
          </cell>
          <cell r="H1438">
            <v>1248138</v>
          </cell>
          <cell r="I1438">
            <v>595767</v>
          </cell>
          <cell r="J1438">
            <v>1797</v>
          </cell>
        </row>
        <row r="1439">
          <cell r="A1439" t="str">
            <v>BackToSchool_24EGSocial</v>
          </cell>
          <cell r="B1439">
            <v>45551</v>
          </cell>
          <cell r="C1439">
            <v>45551</v>
          </cell>
          <cell r="D1439" t="str">
            <v>BackToSchool_24</v>
          </cell>
          <cell r="E1439" t="str">
            <v>EG</v>
          </cell>
          <cell r="F1439" t="str">
            <v>Social</v>
          </cell>
          <cell r="G1439">
            <v>6836</v>
          </cell>
          <cell r="H1439">
            <v>581510</v>
          </cell>
          <cell r="I1439">
            <v>262512</v>
          </cell>
          <cell r="J1439">
            <v>946</v>
          </cell>
        </row>
        <row r="1440">
          <cell r="A1440" t="str">
            <v>BackToSchool_24EGDisplay</v>
          </cell>
          <cell r="B1440">
            <v>45551</v>
          </cell>
          <cell r="C1440">
            <v>45551</v>
          </cell>
          <cell r="D1440" t="str">
            <v>BackToSchool_24</v>
          </cell>
          <cell r="E1440" t="str">
            <v>EG</v>
          </cell>
          <cell r="F1440" t="str">
            <v>Display</v>
          </cell>
          <cell r="G1440">
            <v>11249</v>
          </cell>
          <cell r="H1440">
            <v>3337355</v>
          </cell>
          <cell r="I1440">
            <v>575847</v>
          </cell>
          <cell r="J1440">
            <v>376</v>
          </cell>
        </row>
        <row r="1441">
          <cell r="A1441" t="str">
            <v>BackToSchool_24EGSearch</v>
          </cell>
          <cell r="B1441">
            <v>45551</v>
          </cell>
          <cell r="C1441">
            <v>45551</v>
          </cell>
          <cell r="D1441" t="str">
            <v>BackToSchool_24</v>
          </cell>
          <cell r="E1441" t="str">
            <v>EG</v>
          </cell>
          <cell r="F1441" t="str">
            <v>Search</v>
          </cell>
          <cell r="G1441">
            <v>8484</v>
          </cell>
          <cell r="H1441">
            <v>113314</v>
          </cell>
          <cell r="I1441">
            <v>98071</v>
          </cell>
          <cell r="J1441">
            <v>2519</v>
          </cell>
        </row>
        <row r="1442">
          <cell r="A1442" t="str">
            <v>BackToSchool_24UKYouTube</v>
          </cell>
          <cell r="B1442">
            <v>45558</v>
          </cell>
          <cell r="C1442">
            <v>45558</v>
          </cell>
          <cell r="D1442" t="str">
            <v>BackToSchool_24</v>
          </cell>
          <cell r="E1442" t="str">
            <v>UK</v>
          </cell>
          <cell r="F1442" t="str">
            <v>YouTube</v>
          </cell>
          <cell r="G1442">
            <v>24581</v>
          </cell>
          <cell r="H1442">
            <v>1245688</v>
          </cell>
          <cell r="I1442">
            <v>579963</v>
          </cell>
          <cell r="J1442">
            <v>802</v>
          </cell>
        </row>
        <row r="1443">
          <cell r="A1443" t="str">
            <v>BackToSchool_24UKSocial</v>
          </cell>
          <cell r="B1443">
            <v>45558</v>
          </cell>
          <cell r="C1443">
            <v>45558</v>
          </cell>
          <cell r="D1443" t="str">
            <v>BackToSchool_24</v>
          </cell>
          <cell r="E1443" t="str">
            <v>UK</v>
          </cell>
          <cell r="F1443" t="str">
            <v>Social</v>
          </cell>
          <cell r="G1443">
            <v>14527</v>
          </cell>
          <cell r="H1443">
            <v>1227883</v>
          </cell>
          <cell r="I1443">
            <v>488655</v>
          </cell>
          <cell r="J1443">
            <v>507</v>
          </cell>
        </row>
        <row r="1444">
          <cell r="A1444" t="str">
            <v>BackToSchool_24UKDisplay</v>
          </cell>
          <cell r="B1444">
            <v>45558</v>
          </cell>
          <cell r="C1444">
            <v>45558</v>
          </cell>
          <cell r="D1444" t="str">
            <v>BackToSchool_24</v>
          </cell>
          <cell r="E1444" t="str">
            <v>UK</v>
          </cell>
          <cell r="F1444" t="str">
            <v>Display</v>
          </cell>
          <cell r="G1444">
            <v>9434</v>
          </cell>
          <cell r="H1444">
            <v>2074091</v>
          </cell>
          <cell r="I1444">
            <v>508871</v>
          </cell>
          <cell r="J1444">
            <v>82</v>
          </cell>
        </row>
        <row r="1445">
          <cell r="A1445" t="str">
            <v>BackToSchool_24UKSearch</v>
          </cell>
          <cell r="B1445">
            <v>45558</v>
          </cell>
          <cell r="C1445">
            <v>45558</v>
          </cell>
          <cell r="D1445" t="str">
            <v>BackToSchool_24</v>
          </cell>
          <cell r="E1445" t="str">
            <v>UK</v>
          </cell>
          <cell r="F1445" t="str">
            <v>Search</v>
          </cell>
          <cell r="G1445">
            <v>17171</v>
          </cell>
          <cell r="H1445">
            <v>202691</v>
          </cell>
          <cell r="I1445">
            <v>176424</v>
          </cell>
          <cell r="J1445">
            <v>1344</v>
          </cell>
        </row>
        <row r="1446">
          <cell r="A1446" t="str">
            <v>BackToSchool_24DEYouTube</v>
          </cell>
          <cell r="B1446">
            <v>45558</v>
          </cell>
          <cell r="C1446">
            <v>45558</v>
          </cell>
          <cell r="D1446" t="str">
            <v>BackToSchool_24</v>
          </cell>
          <cell r="E1446" t="str">
            <v>DE</v>
          </cell>
          <cell r="F1446" t="str">
            <v>YouTube</v>
          </cell>
          <cell r="G1446">
            <v>14851</v>
          </cell>
          <cell r="H1446">
            <v>1239407</v>
          </cell>
          <cell r="I1446">
            <v>420190</v>
          </cell>
          <cell r="J1446">
            <v>488</v>
          </cell>
        </row>
        <row r="1447">
          <cell r="A1447" t="str">
            <v>BackToSchool_24DESocial</v>
          </cell>
          <cell r="B1447">
            <v>45558</v>
          </cell>
          <cell r="C1447">
            <v>45558</v>
          </cell>
          <cell r="D1447" t="str">
            <v>BackToSchool_24</v>
          </cell>
          <cell r="E1447" t="str">
            <v>DE</v>
          </cell>
          <cell r="F1447" t="str">
            <v>Social</v>
          </cell>
          <cell r="G1447">
            <v>19083</v>
          </cell>
          <cell r="H1447">
            <v>1323190</v>
          </cell>
          <cell r="I1447">
            <v>646128</v>
          </cell>
          <cell r="J1447">
            <v>646</v>
          </cell>
        </row>
        <row r="1448">
          <cell r="A1448" t="str">
            <v>BackToSchool_24DEDisplay</v>
          </cell>
          <cell r="B1448">
            <v>45558</v>
          </cell>
          <cell r="C1448">
            <v>45558</v>
          </cell>
          <cell r="D1448" t="str">
            <v>BackToSchool_24</v>
          </cell>
          <cell r="E1448" t="str">
            <v>DE</v>
          </cell>
          <cell r="F1448" t="str">
            <v>Display</v>
          </cell>
          <cell r="G1448">
            <v>15289</v>
          </cell>
          <cell r="H1448">
            <v>3719277</v>
          </cell>
          <cell r="I1448">
            <v>910709</v>
          </cell>
          <cell r="J1448">
            <v>115</v>
          </cell>
        </row>
        <row r="1449">
          <cell r="A1449" t="str">
            <v>BackToSchool_24DESearch</v>
          </cell>
          <cell r="B1449">
            <v>45558</v>
          </cell>
          <cell r="C1449">
            <v>45558</v>
          </cell>
          <cell r="D1449" t="str">
            <v>BackToSchool_24</v>
          </cell>
          <cell r="E1449" t="str">
            <v>DE</v>
          </cell>
          <cell r="F1449" t="str">
            <v>Search</v>
          </cell>
          <cell r="G1449">
            <v>16094</v>
          </cell>
          <cell r="H1449">
            <v>191944</v>
          </cell>
          <cell r="I1449">
            <v>165701</v>
          </cell>
          <cell r="J1449">
            <v>1353</v>
          </cell>
        </row>
        <row r="1450">
          <cell r="A1450" t="str">
            <v>BackToSchool_24SAYouTube</v>
          </cell>
          <cell r="B1450">
            <v>45558</v>
          </cell>
          <cell r="C1450">
            <v>45558</v>
          </cell>
          <cell r="D1450" t="str">
            <v>BackToSchool_24</v>
          </cell>
          <cell r="E1450" t="str">
            <v>SA</v>
          </cell>
          <cell r="F1450" t="str">
            <v>YouTube</v>
          </cell>
          <cell r="G1450">
            <v>13960</v>
          </cell>
          <cell r="H1450">
            <v>770622</v>
          </cell>
          <cell r="I1450">
            <v>316523</v>
          </cell>
          <cell r="J1450">
            <v>1726</v>
          </cell>
        </row>
        <row r="1451">
          <cell r="A1451" t="str">
            <v>BackToSchool_24SASocial</v>
          </cell>
          <cell r="B1451">
            <v>45558</v>
          </cell>
          <cell r="C1451">
            <v>45558</v>
          </cell>
          <cell r="D1451" t="str">
            <v>BackToSchool_24</v>
          </cell>
          <cell r="E1451" t="str">
            <v>SA</v>
          </cell>
          <cell r="F1451" t="str">
            <v>Social</v>
          </cell>
          <cell r="G1451">
            <v>16737</v>
          </cell>
          <cell r="H1451">
            <v>1315293</v>
          </cell>
          <cell r="I1451">
            <v>502088</v>
          </cell>
          <cell r="J1451">
            <v>2186</v>
          </cell>
        </row>
        <row r="1452">
          <cell r="A1452" t="str">
            <v>BackToSchool_24SADisplay</v>
          </cell>
          <cell r="B1452">
            <v>45558</v>
          </cell>
          <cell r="C1452">
            <v>45558</v>
          </cell>
          <cell r="D1452" t="str">
            <v>BackToSchool_24</v>
          </cell>
          <cell r="E1452" t="str">
            <v>SA</v>
          </cell>
          <cell r="F1452" t="str">
            <v>Display</v>
          </cell>
          <cell r="G1452">
            <v>4841</v>
          </cell>
          <cell r="H1452">
            <v>1361571</v>
          </cell>
          <cell r="I1452">
            <v>310899</v>
          </cell>
          <cell r="J1452">
            <v>165</v>
          </cell>
        </row>
        <row r="1453">
          <cell r="A1453" t="str">
            <v>BackToSchool_24SASearch</v>
          </cell>
          <cell r="B1453">
            <v>45558</v>
          </cell>
          <cell r="C1453">
            <v>45558</v>
          </cell>
          <cell r="D1453" t="str">
            <v>BackToSchool_24</v>
          </cell>
          <cell r="E1453" t="str">
            <v>SA</v>
          </cell>
          <cell r="F1453" t="str">
            <v>Search</v>
          </cell>
          <cell r="G1453">
            <v>14590</v>
          </cell>
          <cell r="H1453">
            <v>178867</v>
          </cell>
          <cell r="I1453">
            <v>161487</v>
          </cell>
          <cell r="J1453">
            <v>4230</v>
          </cell>
        </row>
        <row r="1454">
          <cell r="A1454" t="str">
            <v>BackToSchool_24EGYouTube</v>
          </cell>
          <cell r="B1454">
            <v>45558</v>
          </cell>
          <cell r="C1454">
            <v>45558</v>
          </cell>
          <cell r="D1454" t="str">
            <v>BackToSchool_24</v>
          </cell>
          <cell r="E1454" t="str">
            <v>EG</v>
          </cell>
          <cell r="F1454" t="str">
            <v>YouTube</v>
          </cell>
          <cell r="G1454">
            <v>8011</v>
          </cell>
          <cell r="H1454">
            <v>559557</v>
          </cell>
          <cell r="I1454">
            <v>271248</v>
          </cell>
          <cell r="J1454">
            <v>937</v>
          </cell>
        </row>
        <row r="1455">
          <cell r="A1455" t="str">
            <v>BackToSchool_24EGSocial</v>
          </cell>
          <cell r="B1455">
            <v>45558</v>
          </cell>
          <cell r="C1455">
            <v>45558</v>
          </cell>
          <cell r="D1455" t="str">
            <v>BackToSchool_24</v>
          </cell>
          <cell r="E1455" t="str">
            <v>EG</v>
          </cell>
          <cell r="F1455" t="str">
            <v>Social</v>
          </cell>
          <cell r="G1455">
            <v>12647</v>
          </cell>
          <cell r="H1455">
            <v>779287</v>
          </cell>
          <cell r="I1455">
            <v>348079</v>
          </cell>
          <cell r="J1455">
            <v>1721</v>
          </cell>
        </row>
        <row r="1456">
          <cell r="A1456" t="str">
            <v>BackToSchool_24EGDisplay</v>
          </cell>
          <cell r="B1456">
            <v>45558</v>
          </cell>
          <cell r="C1456">
            <v>45558</v>
          </cell>
          <cell r="D1456" t="str">
            <v>BackToSchool_24</v>
          </cell>
          <cell r="E1456" t="str">
            <v>EG</v>
          </cell>
          <cell r="F1456" t="str">
            <v>Display</v>
          </cell>
          <cell r="G1456">
            <v>7285</v>
          </cell>
          <cell r="H1456">
            <v>2140879</v>
          </cell>
          <cell r="I1456">
            <v>366244</v>
          </cell>
          <cell r="J1456">
            <v>216</v>
          </cell>
        </row>
        <row r="1457">
          <cell r="A1457" t="str">
            <v>BackToSchool_24EGSearch</v>
          </cell>
          <cell r="B1457">
            <v>45558</v>
          </cell>
          <cell r="C1457">
            <v>45558</v>
          </cell>
          <cell r="D1457" t="str">
            <v>BackToSchool_24</v>
          </cell>
          <cell r="E1457" t="str">
            <v>EG</v>
          </cell>
          <cell r="F1457" t="str">
            <v>Search</v>
          </cell>
          <cell r="G1457">
            <v>7884</v>
          </cell>
          <cell r="H1457">
            <v>114629</v>
          </cell>
          <cell r="I1457">
            <v>99973</v>
          </cell>
          <cell r="J1457">
            <v>2676</v>
          </cell>
        </row>
        <row r="1458">
          <cell r="A1458" t="str">
            <v>BackToSchool_24UKYouTube</v>
          </cell>
          <cell r="B1458">
            <v>45565</v>
          </cell>
          <cell r="C1458">
            <v>45565</v>
          </cell>
          <cell r="D1458" t="str">
            <v>BackToSchool_24</v>
          </cell>
          <cell r="E1458" t="str">
            <v>UK</v>
          </cell>
          <cell r="F1458" t="str">
            <v>YouTube</v>
          </cell>
          <cell r="G1458">
            <v>18408</v>
          </cell>
          <cell r="H1458">
            <v>1460312</v>
          </cell>
          <cell r="I1458">
            <v>670483</v>
          </cell>
          <cell r="J1458">
            <v>667</v>
          </cell>
        </row>
        <row r="1459">
          <cell r="A1459" t="str">
            <v>BackToSchool_24UKSocial</v>
          </cell>
          <cell r="B1459">
            <v>45565</v>
          </cell>
          <cell r="C1459">
            <v>45565</v>
          </cell>
          <cell r="D1459" t="str">
            <v>BackToSchool_24</v>
          </cell>
          <cell r="E1459" t="str">
            <v>UK</v>
          </cell>
          <cell r="F1459" t="str">
            <v>Social</v>
          </cell>
          <cell r="G1459">
            <v>21315</v>
          </cell>
          <cell r="H1459">
            <v>1681896</v>
          </cell>
          <cell r="I1459">
            <v>730599</v>
          </cell>
          <cell r="J1459">
            <v>706</v>
          </cell>
        </row>
        <row r="1460">
          <cell r="A1460" t="str">
            <v>BackToSchool_24UKDisplay</v>
          </cell>
          <cell r="B1460">
            <v>45565</v>
          </cell>
          <cell r="C1460">
            <v>45565</v>
          </cell>
          <cell r="D1460" t="str">
            <v>BackToSchool_24</v>
          </cell>
          <cell r="E1460" t="str">
            <v>UK</v>
          </cell>
          <cell r="F1460" t="str">
            <v>Display</v>
          </cell>
          <cell r="G1460">
            <v>14488</v>
          </cell>
          <cell r="H1460">
            <v>3055142</v>
          </cell>
          <cell r="I1460">
            <v>509618</v>
          </cell>
          <cell r="J1460">
            <v>129</v>
          </cell>
        </row>
        <row r="1461">
          <cell r="A1461" t="str">
            <v>BackToSchool_24UKSearch</v>
          </cell>
          <cell r="B1461">
            <v>45565</v>
          </cell>
          <cell r="C1461">
            <v>45565</v>
          </cell>
          <cell r="D1461" t="str">
            <v>BackToSchool_24</v>
          </cell>
          <cell r="E1461" t="str">
            <v>UK</v>
          </cell>
          <cell r="F1461" t="str">
            <v>Search</v>
          </cell>
          <cell r="G1461">
            <v>21622</v>
          </cell>
          <cell r="H1461">
            <v>275659</v>
          </cell>
          <cell r="I1461">
            <v>247405</v>
          </cell>
          <cell r="J1461">
            <v>1999</v>
          </cell>
        </row>
        <row r="1462">
          <cell r="A1462" t="str">
            <v>BackToSchool_24DEYouTube</v>
          </cell>
          <cell r="B1462">
            <v>45565</v>
          </cell>
          <cell r="C1462">
            <v>45565</v>
          </cell>
          <cell r="D1462" t="str">
            <v>BackToSchool_24</v>
          </cell>
          <cell r="E1462" t="str">
            <v>DE</v>
          </cell>
          <cell r="F1462" t="str">
            <v>YouTube</v>
          </cell>
          <cell r="G1462">
            <v>18358</v>
          </cell>
          <cell r="H1462">
            <v>1308416</v>
          </cell>
          <cell r="I1462">
            <v>523166</v>
          </cell>
          <cell r="J1462">
            <v>573</v>
          </cell>
        </row>
        <row r="1463">
          <cell r="A1463" t="str">
            <v>BackToSchool_24DESocial</v>
          </cell>
          <cell r="B1463">
            <v>45565</v>
          </cell>
          <cell r="C1463">
            <v>45565</v>
          </cell>
          <cell r="D1463" t="str">
            <v>BackToSchool_24</v>
          </cell>
          <cell r="E1463" t="str">
            <v>DE</v>
          </cell>
          <cell r="F1463" t="str">
            <v>Social</v>
          </cell>
          <cell r="G1463">
            <v>17632</v>
          </cell>
          <cell r="H1463">
            <v>1142135</v>
          </cell>
          <cell r="I1463">
            <v>386094</v>
          </cell>
          <cell r="J1463">
            <v>572</v>
          </cell>
        </row>
        <row r="1464">
          <cell r="A1464" t="str">
            <v>BackToSchool_24DEDisplay</v>
          </cell>
          <cell r="B1464">
            <v>45565</v>
          </cell>
          <cell r="C1464">
            <v>45565</v>
          </cell>
          <cell r="D1464" t="str">
            <v>BackToSchool_24</v>
          </cell>
          <cell r="E1464" t="str">
            <v>DE</v>
          </cell>
          <cell r="F1464" t="str">
            <v>Display</v>
          </cell>
          <cell r="G1464">
            <v>15473</v>
          </cell>
          <cell r="H1464">
            <v>3892143</v>
          </cell>
          <cell r="I1464">
            <v>946893</v>
          </cell>
          <cell r="J1464">
            <v>118</v>
          </cell>
        </row>
        <row r="1465">
          <cell r="A1465" t="str">
            <v>BackToSchool_24DESearch</v>
          </cell>
          <cell r="B1465">
            <v>45565</v>
          </cell>
          <cell r="C1465">
            <v>45565</v>
          </cell>
          <cell r="D1465" t="str">
            <v>BackToSchool_24</v>
          </cell>
          <cell r="E1465" t="str">
            <v>DE</v>
          </cell>
          <cell r="F1465" t="str">
            <v>Search</v>
          </cell>
          <cell r="G1465">
            <v>18348</v>
          </cell>
          <cell r="H1465">
            <v>252603</v>
          </cell>
          <cell r="I1465">
            <v>217939</v>
          </cell>
          <cell r="J1465">
            <v>1536</v>
          </cell>
        </row>
        <row r="1466">
          <cell r="A1466" t="str">
            <v>BackToSchool_24SAYouTube</v>
          </cell>
          <cell r="B1466">
            <v>45565</v>
          </cell>
          <cell r="C1466">
            <v>45565</v>
          </cell>
          <cell r="D1466" t="str">
            <v>BackToSchool_24</v>
          </cell>
          <cell r="E1466" t="str">
            <v>SA</v>
          </cell>
          <cell r="F1466" t="str">
            <v>YouTube</v>
          </cell>
          <cell r="G1466">
            <v>8255</v>
          </cell>
          <cell r="H1466">
            <v>682826</v>
          </cell>
          <cell r="I1466">
            <v>279089</v>
          </cell>
          <cell r="J1466">
            <v>1112</v>
          </cell>
        </row>
        <row r="1467">
          <cell r="A1467" t="str">
            <v>BackToSchool_24SASocial</v>
          </cell>
          <cell r="B1467">
            <v>45565</v>
          </cell>
          <cell r="C1467">
            <v>45565</v>
          </cell>
          <cell r="D1467" t="str">
            <v>BackToSchool_24</v>
          </cell>
          <cell r="E1467" t="str">
            <v>SA</v>
          </cell>
          <cell r="F1467" t="str">
            <v>Social</v>
          </cell>
          <cell r="G1467">
            <v>14372</v>
          </cell>
          <cell r="H1467">
            <v>1241618</v>
          </cell>
          <cell r="I1467">
            <v>567016</v>
          </cell>
          <cell r="J1467">
            <v>1800</v>
          </cell>
        </row>
        <row r="1468">
          <cell r="A1468" t="str">
            <v>BackToSchool_24SADisplay</v>
          </cell>
          <cell r="B1468">
            <v>45565</v>
          </cell>
          <cell r="C1468">
            <v>45565</v>
          </cell>
          <cell r="D1468" t="str">
            <v>BackToSchool_24</v>
          </cell>
          <cell r="E1468" t="str">
            <v>SA</v>
          </cell>
          <cell r="F1468" t="str">
            <v>Display</v>
          </cell>
          <cell r="G1468">
            <v>9396</v>
          </cell>
          <cell r="H1468">
            <v>2809959</v>
          </cell>
          <cell r="I1468">
            <v>597126</v>
          </cell>
          <cell r="J1468">
            <v>267</v>
          </cell>
        </row>
        <row r="1469">
          <cell r="A1469" t="str">
            <v>BackToSchool_24SASearch</v>
          </cell>
          <cell r="B1469">
            <v>45565</v>
          </cell>
          <cell r="C1469">
            <v>45565</v>
          </cell>
          <cell r="D1469" t="str">
            <v>BackToSchool_24</v>
          </cell>
          <cell r="E1469" t="str">
            <v>SA</v>
          </cell>
          <cell r="F1469" t="str">
            <v>Search</v>
          </cell>
          <cell r="G1469">
            <v>11166</v>
          </cell>
          <cell r="H1469">
            <v>114241</v>
          </cell>
          <cell r="I1469">
            <v>99844</v>
          </cell>
          <cell r="J1469">
            <v>3657</v>
          </cell>
        </row>
        <row r="1470">
          <cell r="A1470" t="str">
            <v>BackToSchool_24EGYouTube</v>
          </cell>
          <cell r="B1470">
            <v>45565</v>
          </cell>
          <cell r="C1470">
            <v>45565</v>
          </cell>
          <cell r="D1470" t="str">
            <v>BackToSchool_24</v>
          </cell>
          <cell r="E1470" t="str">
            <v>EG</v>
          </cell>
          <cell r="F1470" t="str">
            <v>YouTube</v>
          </cell>
          <cell r="G1470">
            <v>8893</v>
          </cell>
          <cell r="H1470">
            <v>773712</v>
          </cell>
          <cell r="I1470">
            <v>328988</v>
          </cell>
          <cell r="J1470">
            <v>1169</v>
          </cell>
        </row>
        <row r="1471">
          <cell r="A1471" t="str">
            <v>BackToSchool_24EGSocial</v>
          </cell>
          <cell r="B1471">
            <v>45565</v>
          </cell>
          <cell r="C1471">
            <v>45565</v>
          </cell>
          <cell r="D1471" t="str">
            <v>BackToSchool_24</v>
          </cell>
          <cell r="E1471" t="str">
            <v>EG</v>
          </cell>
          <cell r="F1471" t="str">
            <v>Social</v>
          </cell>
          <cell r="G1471">
            <v>14768</v>
          </cell>
          <cell r="H1471">
            <v>1254864</v>
          </cell>
          <cell r="I1471">
            <v>495143</v>
          </cell>
          <cell r="J1471">
            <v>1683</v>
          </cell>
        </row>
        <row r="1472">
          <cell r="A1472" t="str">
            <v>BackToSchool_24EGDisplay</v>
          </cell>
          <cell r="B1472">
            <v>45565</v>
          </cell>
          <cell r="C1472">
            <v>45565</v>
          </cell>
          <cell r="D1472" t="str">
            <v>BackToSchool_24</v>
          </cell>
          <cell r="E1472" t="str">
            <v>EG</v>
          </cell>
          <cell r="F1472" t="str">
            <v>Display</v>
          </cell>
          <cell r="G1472">
            <v>8810</v>
          </cell>
          <cell r="H1472">
            <v>1856102</v>
          </cell>
          <cell r="I1472">
            <v>447415</v>
          </cell>
          <cell r="J1472">
            <v>278</v>
          </cell>
        </row>
        <row r="1473">
          <cell r="A1473" t="str">
            <v>BackToSchool_24EGSearch</v>
          </cell>
          <cell r="B1473">
            <v>45565</v>
          </cell>
          <cell r="C1473">
            <v>45565</v>
          </cell>
          <cell r="D1473" t="str">
            <v>BackToSchool_24</v>
          </cell>
          <cell r="E1473" t="str">
            <v>EG</v>
          </cell>
          <cell r="F1473" t="str">
            <v>Search</v>
          </cell>
          <cell r="G1473">
            <v>10810</v>
          </cell>
          <cell r="H1473">
            <v>132085</v>
          </cell>
          <cell r="I1473">
            <v>111716</v>
          </cell>
          <cell r="J1473">
            <v>3325</v>
          </cell>
        </row>
        <row r="1474">
          <cell r="A1474" t="str">
            <v>Always_OnUKYouTube</v>
          </cell>
          <cell r="B1474">
            <v>45572</v>
          </cell>
          <cell r="C1474">
            <v>45572</v>
          </cell>
          <cell r="D1474" t="str">
            <v>Always_On</v>
          </cell>
          <cell r="E1474" t="str">
            <v>UK</v>
          </cell>
          <cell r="F1474" t="str">
            <v>YouTube</v>
          </cell>
          <cell r="G1474">
            <v>6306</v>
          </cell>
          <cell r="H1474">
            <v>404916</v>
          </cell>
          <cell r="I1474">
            <v>152674</v>
          </cell>
          <cell r="J1474">
            <v>209</v>
          </cell>
        </row>
        <row r="1475">
          <cell r="A1475" t="str">
            <v>Always_OnUKSocial</v>
          </cell>
          <cell r="B1475">
            <v>45572</v>
          </cell>
          <cell r="C1475">
            <v>45572</v>
          </cell>
          <cell r="D1475" t="str">
            <v>Always_On</v>
          </cell>
          <cell r="E1475" t="str">
            <v>UK</v>
          </cell>
          <cell r="F1475" t="str">
            <v>Social</v>
          </cell>
          <cell r="G1475">
            <v>3551</v>
          </cell>
          <cell r="H1475">
            <v>270112</v>
          </cell>
          <cell r="I1475">
            <v>114729</v>
          </cell>
          <cell r="J1475">
            <v>122</v>
          </cell>
        </row>
        <row r="1476">
          <cell r="A1476" t="str">
            <v>Always_OnUKDisplay</v>
          </cell>
          <cell r="B1476">
            <v>45572</v>
          </cell>
          <cell r="C1476">
            <v>45572</v>
          </cell>
          <cell r="D1476" t="str">
            <v>Always_On</v>
          </cell>
          <cell r="E1476" t="str">
            <v>UK</v>
          </cell>
          <cell r="F1476" t="str">
            <v>Display</v>
          </cell>
          <cell r="G1476">
            <v>2884</v>
          </cell>
          <cell r="H1476">
            <v>842597</v>
          </cell>
          <cell r="I1476">
            <v>140607</v>
          </cell>
          <cell r="J1476">
            <v>22</v>
          </cell>
        </row>
        <row r="1477">
          <cell r="A1477" t="str">
            <v>Always_OnUKSearch</v>
          </cell>
          <cell r="B1477">
            <v>45572</v>
          </cell>
          <cell r="C1477">
            <v>45572</v>
          </cell>
          <cell r="D1477" t="str">
            <v>Always_On</v>
          </cell>
          <cell r="E1477" t="str">
            <v>UK</v>
          </cell>
          <cell r="F1477" t="str">
            <v>Search</v>
          </cell>
          <cell r="G1477">
            <v>5984</v>
          </cell>
          <cell r="H1477">
            <v>75807</v>
          </cell>
          <cell r="I1477">
            <v>66109</v>
          </cell>
          <cell r="J1477">
            <v>537</v>
          </cell>
        </row>
        <row r="1478">
          <cell r="A1478" t="str">
            <v>Always_OnDEYouTube</v>
          </cell>
          <cell r="B1478">
            <v>45572</v>
          </cell>
          <cell r="C1478">
            <v>45572</v>
          </cell>
          <cell r="D1478" t="str">
            <v>Always_On</v>
          </cell>
          <cell r="E1478" t="str">
            <v>DE</v>
          </cell>
          <cell r="F1478" t="str">
            <v>YouTube</v>
          </cell>
          <cell r="G1478">
            <v>6759</v>
          </cell>
          <cell r="H1478">
            <v>563417</v>
          </cell>
          <cell r="I1478">
            <v>238127</v>
          </cell>
          <cell r="J1478">
            <v>244</v>
          </cell>
        </row>
        <row r="1479">
          <cell r="A1479" t="str">
            <v>Always_OnDESocial</v>
          </cell>
          <cell r="B1479">
            <v>45572</v>
          </cell>
          <cell r="C1479">
            <v>45572</v>
          </cell>
          <cell r="D1479" t="str">
            <v>Always_On</v>
          </cell>
          <cell r="E1479" t="str">
            <v>DE</v>
          </cell>
          <cell r="F1479" t="str">
            <v>Social</v>
          </cell>
          <cell r="G1479">
            <v>4825</v>
          </cell>
          <cell r="H1479">
            <v>407382</v>
          </cell>
          <cell r="I1479">
            <v>156576</v>
          </cell>
          <cell r="J1479">
            <v>160</v>
          </cell>
        </row>
        <row r="1480">
          <cell r="A1480" t="str">
            <v>Always_OnDEDisplay</v>
          </cell>
          <cell r="B1480">
            <v>45572</v>
          </cell>
          <cell r="C1480">
            <v>45572</v>
          </cell>
          <cell r="D1480" t="str">
            <v>Always_On</v>
          </cell>
          <cell r="E1480" t="str">
            <v>DE</v>
          </cell>
          <cell r="F1480" t="str">
            <v>Display</v>
          </cell>
          <cell r="G1480">
            <v>2513</v>
          </cell>
          <cell r="H1480">
            <v>520465</v>
          </cell>
          <cell r="I1480">
            <v>109557</v>
          </cell>
          <cell r="J1480">
            <v>20</v>
          </cell>
        </row>
        <row r="1481">
          <cell r="A1481" t="str">
            <v>Always_OnDESearch</v>
          </cell>
          <cell r="B1481">
            <v>45572</v>
          </cell>
          <cell r="C1481">
            <v>45572</v>
          </cell>
          <cell r="D1481" t="str">
            <v>Always_On</v>
          </cell>
          <cell r="E1481" t="str">
            <v>DE</v>
          </cell>
          <cell r="F1481" t="str">
            <v>Search</v>
          </cell>
          <cell r="G1481">
            <v>3782</v>
          </cell>
          <cell r="H1481">
            <v>38842</v>
          </cell>
          <cell r="I1481">
            <v>35139</v>
          </cell>
          <cell r="J1481">
            <v>320</v>
          </cell>
        </row>
        <row r="1482">
          <cell r="A1482" t="str">
            <v>Always_OnSAYouTube</v>
          </cell>
          <cell r="B1482">
            <v>45572</v>
          </cell>
          <cell r="C1482">
            <v>45572</v>
          </cell>
          <cell r="D1482" t="str">
            <v>Always_On</v>
          </cell>
          <cell r="E1482" t="str">
            <v>SA</v>
          </cell>
          <cell r="F1482" t="str">
            <v>YouTube</v>
          </cell>
          <cell r="G1482">
            <v>2055</v>
          </cell>
          <cell r="H1482">
            <v>154717</v>
          </cell>
          <cell r="I1482">
            <v>60522</v>
          </cell>
          <cell r="J1482">
            <v>284</v>
          </cell>
        </row>
        <row r="1483">
          <cell r="A1483" t="str">
            <v>Always_OnSASocial</v>
          </cell>
          <cell r="B1483">
            <v>45572</v>
          </cell>
          <cell r="C1483">
            <v>45572</v>
          </cell>
          <cell r="D1483" t="str">
            <v>Always_On</v>
          </cell>
          <cell r="E1483" t="str">
            <v>SA</v>
          </cell>
          <cell r="F1483" t="str">
            <v>Social</v>
          </cell>
          <cell r="G1483">
            <v>3132</v>
          </cell>
          <cell r="H1483">
            <v>187363</v>
          </cell>
          <cell r="I1483">
            <v>63569</v>
          </cell>
          <cell r="J1483">
            <v>419</v>
          </cell>
        </row>
        <row r="1484">
          <cell r="A1484" t="str">
            <v>Always_OnSADisplay</v>
          </cell>
          <cell r="B1484">
            <v>45572</v>
          </cell>
          <cell r="C1484">
            <v>45572</v>
          </cell>
          <cell r="D1484" t="str">
            <v>Always_On</v>
          </cell>
          <cell r="E1484" t="str">
            <v>SA</v>
          </cell>
          <cell r="F1484" t="str">
            <v>Display</v>
          </cell>
          <cell r="G1484">
            <v>2696</v>
          </cell>
          <cell r="H1484">
            <v>592478</v>
          </cell>
          <cell r="I1484">
            <v>102781</v>
          </cell>
          <cell r="J1484">
            <v>85</v>
          </cell>
        </row>
        <row r="1485">
          <cell r="A1485" t="str">
            <v>Always_OnSASearch</v>
          </cell>
          <cell r="B1485">
            <v>45572</v>
          </cell>
          <cell r="C1485">
            <v>45572</v>
          </cell>
          <cell r="D1485" t="str">
            <v>Always_On</v>
          </cell>
          <cell r="E1485" t="str">
            <v>SA</v>
          </cell>
          <cell r="F1485" t="str">
            <v>Search</v>
          </cell>
          <cell r="G1485">
            <v>3730</v>
          </cell>
          <cell r="H1485">
            <v>52769</v>
          </cell>
          <cell r="I1485">
            <v>46106</v>
          </cell>
          <cell r="J1485">
            <v>1159</v>
          </cell>
        </row>
        <row r="1486">
          <cell r="A1486" t="str">
            <v>Always_OnEGYouTube</v>
          </cell>
          <cell r="B1486">
            <v>45572</v>
          </cell>
          <cell r="C1486">
            <v>45572</v>
          </cell>
          <cell r="D1486" t="str">
            <v>Always_On</v>
          </cell>
          <cell r="E1486" t="str">
            <v>EG</v>
          </cell>
          <cell r="F1486" t="str">
            <v>YouTube</v>
          </cell>
          <cell r="G1486">
            <v>3330</v>
          </cell>
          <cell r="H1486">
            <v>272747</v>
          </cell>
          <cell r="I1486">
            <v>118046</v>
          </cell>
          <cell r="J1486">
            <v>388</v>
          </cell>
        </row>
        <row r="1487">
          <cell r="A1487" t="str">
            <v>Always_OnEGSocial</v>
          </cell>
          <cell r="B1487">
            <v>45572</v>
          </cell>
          <cell r="C1487">
            <v>45572</v>
          </cell>
          <cell r="D1487" t="str">
            <v>Always_On</v>
          </cell>
          <cell r="E1487" t="str">
            <v>EG</v>
          </cell>
          <cell r="F1487" t="str">
            <v>Social</v>
          </cell>
          <cell r="G1487">
            <v>2698</v>
          </cell>
          <cell r="H1487">
            <v>235231</v>
          </cell>
          <cell r="I1487">
            <v>88301</v>
          </cell>
          <cell r="J1487">
            <v>329</v>
          </cell>
        </row>
        <row r="1488">
          <cell r="A1488" t="str">
            <v>Always_OnEGDisplay</v>
          </cell>
          <cell r="B1488">
            <v>45572</v>
          </cell>
          <cell r="C1488">
            <v>45572</v>
          </cell>
          <cell r="D1488" t="str">
            <v>Always_On</v>
          </cell>
          <cell r="E1488" t="str">
            <v>EG</v>
          </cell>
          <cell r="F1488" t="str">
            <v>Display</v>
          </cell>
          <cell r="G1488">
            <v>2523</v>
          </cell>
          <cell r="H1488">
            <v>594043</v>
          </cell>
          <cell r="I1488">
            <v>141374</v>
          </cell>
          <cell r="J1488">
            <v>77</v>
          </cell>
        </row>
        <row r="1489">
          <cell r="A1489" t="str">
            <v>Always_OnEGSearch</v>
          </cell>
          <cell r="B1489">
            <v>45572</v>
          </cell>
          <cell r="C1489">
            <v>45572</v>
          </cell>
          <cell r="D1489" t="str">
            <v>Always_On</v>
          </cell>
          <cell r="E1489" t="str">
            <v>EG</v>
          </cell>
          <cell r="F1489" t="str">
            <v>Search</v>
          </cell>
          <cell r="G1489">
            <v>2469</v>
          </cell>
          <cell r="H1489">
            <v>30353</v>
          </cell>
          <cell r="I1489">
            <v>25692</v>
          </cell>
          <cell r="J1489">
            <v>748</v>
          </cell>
        </row>
        <row r="1490">
          <cell r="A1490" t="str">
            <v>Always_OnUKYouTube</v>
          </cell>
          <cell r="B1490">
            <v>45579</v>
          </cell>
          <cell r="C1490">
            <v>45579</v>
          </cell>
          <cell r="D1490" t="str">
            <v>Always_On</v>
          </cell>
          <cell r="E1490" t="str">
            <v>UK</v>
          </cell>
          <cell r="F1490" t="str">
            <v>YouTube</v>
          </cell>
          <cell r="G1490">
            <v>7492</v>
          </cell>
          <cell r="H1490">
            <v>465875</v>
          </cell>
          <cell r="I1490">
            <v>159949</v>
          </cell>
          <cell r="J1490">
            <v>247</v>
          </cell>
        </row>
        <row r="1491">
          <cell r="A1491" t="str">
            <v>Always_OnUKSocial</v>
          </cell>
          <cell r="B1491">
            <v>45579</v>
          </cell>
          <cell r="C1491">
            <v>45579</v>
          </cell>
          <cell r="D1491" t="str">
            <v>Always_On</v>
          </cell>
          <cell r="E1491" t="str">
            <v>UK</v>
          </cell>
          <cell r="F1491" t="str">
            <v>Social</v>
          </cell>
          <cell r="G1491">
            <v>5387</v>
          </cell>
          <cell r="H1491">
            <v>289922</v>
          </cell>
          <cell r="I1491">
            <v>108514</v>
          </cell>
          <cell r="J1491">
            <v>164</v>
          </cell>
        </row>
        <row r="1492">
          <cell r="A1492" t="str">
            <v>Always_OnUKDisplay</v>
          </cell>
          <cell r="B1492">
            <v>45579</v>
          </cell>
          <cell r="C1492">
            <v>45579</v>
          </cell>
          <cell r="D1492" t="str">
            <v>Always_On</v>
          </cell>
          <cell r="E1492" t="str">
            <v>UK</v>
          </cell>
          <cell r="F1492" t="str">
            <v>Display</v>
          </cell>
          <cell r="G1492">
            <v>2824</v>
          </cell>
          <cell r="H1492">
            <v>831779</v>
          </cell>
          <cell r="I1492">
            <v>166149</v>
          </cell>
          <cell r="J1492">
            <v>21</v>
          </cell>
        </row>
        <row r="1493">
          <cell r="A1493" t="str">
            <v>Always_OnUKSearch</v>
          </cell>
          <cell r="B1493">
            <v>45579</v>
          </cell>
          <cell r="C1493">
            <v>45579</v>
          </cell>
          <cell r="D1493" t="str">
            <v>Always_On</v>
          </cell>
          <cell r="E1493" t="str">
            <v>UK</v>
          </cell>
          <cell r="F1493" t="str">
            <v>Search</v>
          </cell>
          <cell r="G1493">
            <v>5666</v>
          </cell>
          <cell r="H1493">
            <v>80526</v>
          </cell>
          <cell r="I1493">
            <v>67150</v>
          </cell>
          <cell r="J1493">
            <v>481</v>
          </cell>
        </row>
        <row r="1494">
          <cell r="A1494" t="str">
            <v>Always_OnDEYouTube</v>
          </cell>
          <cell r="B1494">
            <v>45579</v>
          </cell>
          <cell r="C1494">
            <v>45579</v>
          </cell>
          <cell r="D1494" t="str">
            <v>Always_On</v>
          </cell>
          <cell r="E1494" t="str">
            <v>DE</v>
          </cell>
          <cell r="F1494" t="str">
            <v>YouTube</v>
          </cell>
          <cell r="G1494">
            <v>4780</v>
          </cell>
          <cell r="H1494">
            <v>312752</v>
          </cell>
          <cell r="I1494">
            <v>136389</v>
          </cell>
          <cell r="J1494">
            <v>169</v>
          </cell>
        </row>
        <row r="1495">
          <cell r="A1495" t="str">
            <v>Always_OnDESocial</v>
          </cell>
          <cell r="B1495">
            <v>45579</v>
          </cell>
          <cell r="C1495">
            <v>45579</v>
          </cell>
          <cell r="D1495" t="str">
            <v>Always_On</v>
          </cell>
          <cell r="E1495" t="str">
            <v>DE</v>
          </cell>
          <cell r="F1495" t="str">
            <v>Social</v>
          </cell>
          <cell r="G1495">
            <v>2866</v>
          </cell>
          <cell r="H1495">
            <v>173233</v>
          </cell>
          <cell r="I1495">
            <v>80643</v>
          </cell>
          <cell r="J1495">
            <v>97</v>
          </cell>
        </row>
        <row r="1496">
          <cell r="A1496" t="str">
            <v>Always_OnDEDisplay</v>
          </cell>
          <cell r="B1496">
            <v>45579</v>
          </cell>
          <cell r="C1496">
            <v>45579</v>
          </cell>
          <cell r="D1496" t="str">
            <v>Always_On</v>
          </cell>
          <cell r="E1496" t="str">
            <v>DE</v>
          </cell>
          <cell r="F1496" t="str">
            <v>Display</v>
          </cell>
          <cell r="G1496">
            <v>1932</v>
          </cell>
          <cell r="H1496">
            <v>483667</v>
          </cell>
          <cell r="I1496">
            <v>98111</v>
          </cell>
          <cell r="J1496">
            <v>15</v>
          </cell>
        </row>
        <row r="1497">
          <cell r="A1497" t="str">
            <v>Always_OnDESearch</v>
          </cell>
          <cell r="B1497">
            <v>45579</v>
          </cell>
          <cell r="C1497">
            <v>45579</v>
          </cell>
          <cell r="D1497" t="str">
            <v>Always_On</v>
          </cell>
          <cell r="E1497" t="str">
            <v>DE</v>
          </cell>
          <cell r="F1497" t="str">
            <v>Search</v>
          </cell>
          <cell r="G1497">
            <v>4418</v>
          </cell>
          <cell r="H1497">
            <v>55225</v>
          </cell>
          <cell r="I1497">
            <v>50181</v>
          </cell>
          <cell r="J1497">
            <v>387</v>
          </cell>
        </row>
        <row r="1498">
          <cell r="A1498" t="str">
            <v>Always_OnSAYouTube</v>
          </cell>
          <cell r="B1498">
            <v>45579</v>
          </cell>
          <cell r="C1498">
            <v>45579</v>
          </cell>
          <cell r="D1498" t="str">
            <v>Always_On</v>
          </cell>
          <cell r="E1498" t="str">
            <v>SA</v>
          </cell>
          <cell r="F1498" t="str">
            <v>YouTube</v>
          </cell>
          <cell r="G1498">
            <v>4155</v>
          </cell>
          <cell r="H1498">
            <v>257941</v>
          </cell>
          <cell r="I1498">
            <v>105652</v>
          </cell>
          <cell r="J1498">
            <v>496</v>
          </cell>
        </row>
        <row r="1499">
          <cell r="A1499" t="str">
            <v>Always_OnSASocial</v>
          </cell>
          <cell r="B1499">
            <v>45579</v>
          </cell>
          <cell r="C1499">
            <v>45579</v>
          </cell>
          <cell r="D1499" t="str">
            <v>Always_On</v>
          </cell>
          <cell r="E1499" t="str">
            <v>SA</v>
          </cell>
          <cell r="F1499" t="str">
            <v>Social</v>
          </cell>
          <cell r="G1499">
            <v>1867</v>
          </cell>
          <cell r="H1499">
            <v>131943</v>
          </cell>
          <cell r="I1499">
            <v>52471</v>
          </cell>
          <cell r="J1499">
            <v>222</v>
          </cell>
        </row>
        <row r="1500">
          <cell r="A1500" t="str">
            <v>Always_OnSADisplay</v>
          </cell>
          <cell r="B1500">
            <v>45579</v>
          </cell>
          <cell r="C1500">
            <v>45579</v>
          </cell>
          <cell r="D1500" t="str">
            <v>Always_On</v>
          </cell>
          <cell r="E1500" t="str">
            <v>SA</v>
          </cell>
          <cell r="F1500" t="str">
            <v>Display</v>
          </cell>
          <cell r="G1500">
            <v>1887</v>
          </cell>
          <cell r="H1500">
            <v>548031</v>
          </cell>
          <cell r="I1500">
            <v>99270</v>
          </cell>
          <cell r="J1500">
            <v>63</v>
          </cell>
        </row>
        <row r="1501">
          <cell r="A1501" t="str">
            <v>Always_OnSASearch</v>
          </cell>
          <cell r="B1501">
            <v>45579</v>
          </cell>
          <cell r="C1501">
            <v>45579</v>
          </cell>
          <cell r="D1501" t="str">
            <v>Always_On</v>
          </cell>
          <cell r="E1501" t="str">
            <v>SA</v>
          </cell>
          <cell r="F1501" t="str">
            <v>Search</v>
          </cell>
          <cell r="G1501">
            <v>3342</v>
          </cell>
          <cell r="H1501">
            <v>34063</v>
          </cell>
          <cell r="I1501">
            <v>30013</v>
          </cell>
          <cell r="J1501">
            <v>993</v>
          </cell>
        </row>
        <row r="1502">
          <cell r="A1502" t="str">
            <v>Always_OnEGYouTube</v>
          </cell>
          <cell r="B1502">
            <v>45579</v>
          </cell>
          <cell r="C1502">
            <v>45579</v>
          </cell>
          <cell r="D1502" t="str">
            <v>Always_On</v>
          </cell>
          <cell r="E1502" t="str">
            <v>EG</v>
          </cell>
          <cell r="F1502" t="str">
            <v>YouTube</v>
          </cell>
          <cell r="G1502">
            <v>3850</v>
          </cell>
          <cell r="H1502">
            <v>259072</v>
          </cell>
          <cell r="I1502">
            <v>94358</v>
          </cell>
          <cell r="J1502">
            <v>505</v>
          </cell>
        </row>
        <row r="1503">
          <cell r="A1503" t="str">
            <v>Always_OnEGSocial</v>
          </cell>
          <cell r="B1503">
            <v>45579</v>
          </cell>
          <cell r="C1503">
            <v>45579</v>
          </cell>
          <cell r="D1503" t="str">
            <v>Always_On</v>
          </cell>
          <cell r="E1503" t="str">
            <v>EG</v>
          </cell>
          <cell r="F1503" t="str">
            <v>Social</v>
          </cell>
          <cell r="G1503">
            <v>2792</v>
          </cell>
          <cell r="H1503">
            <v>228161</v>
          </cell>
          <cell r="I1503">
            <v>76146</v>
          </cell>
          <cell r="J1503">
            <v>348</v>
          </cell>
        </row>
        <row r="1504">
          <cell r="A1504" t="str">
            <v>Always_OnEGDisplay</v>
          </cell>
          <cell r="B1504">
            <v>45579</v>
          </cell>
          <cell r="C1504">
            <v>45579</v>
          </cell>
          <cell r="D1504" t="str">
            <v>Always_On</v>
          </cell>
          <cell r="E1504" t="str">
            <v>EG</v>
          </cell>
          <cell r="F1504" t="str">
            <v>Display</v>
          </cell>
          <cell r="G1504">
            <v>1485</v>
          </cell>
          <cell r="H1504">
            <v>395643</v>
          </cell>
          <cell r="I1504">
            <v>97917</v>
          </cell>
          <cell r="J1504">
            <v>49</v>
          </cell>
        </row>
        <row r="1505">
          <cell r="A1505" t="str">
            <v>Always_OnEGSearch</v>
          </cell>
          <cell r="B1505">
            <v>45579</v>
          </cell>
          <cell r="C1505">
            <v>45579</v>
          </cell>
          <cell r="D1505" t="str">
            <v>Always_On</v>
          </cell>
          <cell r="E1505" t="str">
            <v>EG</v>
          </cell>
          <cell r="F1505" t="str">
            <v>Search</v>
          </cell>
          <cell r="G1505">
            <v>4249</v>
          </cell>
          <cell r="H1505">
            <v>44256</v>
          </cell>
          <cell r="I1505">
            <v>39024</v>
          </cell>
          <cell r="J1505">
            <v>1283</v>
          </cell>
        </row>
        <row r="1506">
          <cell r="A1506" t="str">
            <v>Always_OnUKYouTube</v>
          </cell>
          <cell r="B1506">
            <v>45586</v>
          </cell>
          <cell r="C1506">
            <v>45586</v>
          </cell>
          <cell r="D1506" t="str">
            <v>Always_On</v>
          </cell>
          <cell r="E1506" t="str">
            <v>UK</v>
          </cell>
          <cell r="F1506" t="str">
            <v>YouTube</v>
          </cell>
          <cell r="G1506">
            <v>6383</v>
          </cell>
          <cell r="H1506">
            <v>456277</v>
          </cell>
          <cell r="I1506">
            <v>216972</v>
          </cell>
          <cell r="J1506">
            <v>220</v>
          </cell>
        </row>
        <row r="1507">
          <cell r="A1507" t="str">
            <v>Always_OnUKSocial</v>
          </cell>
          <cell r="B1507">
            <v>45586</v>
          </cell>
          <cell r="C1507">
            <v>45586</v>
          </cell>
          <cell r="D1507" t="str">
            <v>Always_On</v>
          </cell>
          <cell r="E1507" t="str">
            <v>UK</v>
          </cell>
          <cell r="F1507" t="str">
            <v>Social</v>
          </cell>
          <cell r="G1507">
            <v>4727</v>
          </cell>
          <cell r="H1507">
            <v>354622</v>
          </cell>
          <cell r="I1507">
            <v>165018</v>
          </cell>
          <cell r="J1507">
            <v>165</v>
          </cell>
        </row>
        <row r="1508">
          <cell r="A1508" t="str">
            <v>Always_OnUKDisplay</v>
          </cell>
          <cell r="B1508">
            <v>45586</v>
          </cell>
          <cell r="C1508">
            <v>45586</v>
          </cell>
          <cell r="D1508" t="str">
            <v>Always_On</v>
          </cell>
          <cell r="E1508" t="str">
            <v>UK</v>
          </cell>
          <cell r="F1508" t="str">
            <v>Display</v>
          </cell>
          <cell r="G1508">
            <v>3252</v>
          </cell>
          <cell r="H1508">
            <v>953970</v>
          </cell>
          <cell r="I1508">
            <v>201098</v>
          </cell>
          <cell r="J1508">
            <v>28</v>
          </cell>
        </row>
        <row r="1509">
          <cell r="A1509" t="str">
            <v>Always_OnUKSearch</v>
          </cell>
          <cell r="B1509">
            <v>45586</v>
          </cell>
          <cell r="C1509">
            <v>45586</v>
          </cell>
          <cell r="D1509" t="str">
            <v>Always_On</v>
          </cell>
          <cell r="E1509" t="str">
            <v>UK</v>
          </cell>
          <cell r="F1509" t="str">
            <v>Search</v>
          </cell>
          <cell r="G1509">
            <v>7229</v>
          </cell>
          <cell r="H1509">
            <v>84386</v>
          </cell>
          <cell r="I1509">
            <v>75491</v>
          </cell>
          <cell r="J1509">
            <v>617</v>
          </cell>
        </row>
        <row r="1510">
          <cell r="A1510" t="str">
            <v>Always_OnDEYouTube</v>
          </cell>
          <cell r="B1510">
            <v>45586</v>
          </cell>
          <cell r="C1510">
            <v>45586</v>
          </cell>
          <cell r="D1510" t="str">
            <v>Always_On</v>
          </cell>
          <cell r="E1510" t="str">
            <v>DE</v>
          </cell>
          <cell r="F1510" t="str">
            <v>YouTube</v>
          </cell>
          <cell r="G1510">
            <v>3610</v>
          </cell>
          <cell r="H1510">
            <v>320669</v>
          </cell>
          <cell r="I1510">
            <v>137424</v>
          </cell>
          <cell r="J1510">
            <v>122</v>
          </cell>
        </row>
        <row r="1511">
          <cell r="A1511" t="str">
            <v>Always_OnDESocial</v>
          </cell>
          <cell r="B1511">
            <v>45586</v>
          </cell>
          <cell r="C1511">
            <v>45586</v>
          </cell>
          <cell r="D1511" t="str">
            <v>Always_On</v>
          </cell>
          <cell r="E1511" t="str">
            <v>DE</v>
          </cell>
          <cell r="F1511" t="str">
            <v>Social</v>
          </cell>
          <cell r="G1511">
            <v>4883</v>
          </cell>
          <cell r="H1511">
            <v>295946</v>
          </cell>
          <cell r="I1511">
            <v>110183</v>
          </cell>
          <cell r="J1511">
            <v>155</v>
          </cell>
        </row>
        <row r="1512">
          <cell r="A1512" t="str">
            <v>Always_OnDEDisplay</v>
          </cell>
          <cell r="B1512">
            <v>45586</v>
          </cell>
          <cell r="C1512">
            <v>45586</v>
          </cell>
          <cell r="D1512" t="str">
            <v>Always_On</v>
          </cell>
          <cell r="E1512" t="str">
            <v>DE</v>
          </cell>
          <cell r="F1512" t="str">
            <v>Display</v>
          </cell>
          <cell r="G1512">
            <v>1820</v>
          </cell>
          <cell r="H1512">
            <v>415164</v>
          </cell>
          <cell r="I1512">
            <v>102519</v>
          </cell>
          <cell r="J1512">
            <v>14</v>
          </cell>
        </row>
        <row r="1513">
          <cell r="A1513" t="str">
            <v>Always_OnDESearch</v>
          </cell>
          <cell r="B1513">
            <v>45586</v>
          </cell>
          <cell r="C1513">
            <v>45586</v>
          </cell>
          <cell r="D1513" t="str">
            <v>Always_On</v>
          </cell>
          <cell r="E1513" t="str">
            <v>DE</v>
          </cell>
          <cell r="F1513" t="str">
            <v>Search</v>
          </cell>
          <cell r="G1513">
            <v>4927</v>
          </cell>
          <cell r="H1513">
            <v>63173</v>
          </cell>
          <cell r="I1513">
            <v>55302</v>
          </cell>
          <cell r="J1513">
            <v>440</v>
          </cell>
        </row>
        <row r="1514">
          <cell r="A1514" t="str">
            <v>Always_OnSAYouTube</v>
          </cell>
          <cell r="B1514">
            <v>45586</v>
          </cell>
          <cell r="C1514">
            <v>45586</v>
          </cell>
          <cell r="D1514" t="str">
            <v>Always_On</v>
          </cell>
          <cell r="E1514" t="str">
            <v>SA</v>
          </cell>
          <cell r="F1514" t="str">
            <v>YouTube</v>
          </cell>
          <cell r="G1514">
            <v>4445</v>
          </cell>
          <cell r="H1514">
            <v>330411</v>
          </cell>
          <cell r="I1514">
            <v>119361</v>
          </cell>
          <cell r="J1514">
            <v>532</v>
          </cell>
        </row>
        <row r="1515">
          <cell r="A1515" t="str">
            <v>Always_OnSASocial</v>
          </cell>
          <cell r="B1515">
            <v>45586</v>
          </cell>
          <cell r="C1515">
            <v>45586</v>
          </cell>
          <cell r="D1515" t="str">
            <v>Always_On</v>
          </cell>
          <cell r="E1515" t="str">
            <v>SA</v>
          </cell>
          <cell r="F1515" t="str">
            <v>Social</v>
          </cell>
          <cell r="G1515">
            <v>5208</v>
          </cell>
          <cell r="H1515">
            <v>275097</v>
          </cell>
          <cell r="I1515">
            <v>103223</v>
          </cell>
          <cell r="J1515">
            <v>695</v>
          </cell>
        </row>
        <row r="1516">
          <cell r="A1516" t="str">
            <v>Always_OnSADisplay</v>
          </cell>
          <cell r="B1516">
            <v>45586</v>
          </cell>
          <cell r="C1516">
            <v>45586</v>
          </cell>
          <cell r="D1516" t="str">
            <v>Always_On</v>
          </cell>
          <cell r="E1516" t="str">
            <v>SA</v>
          </cell>
          <cell r="F1516" t="str">
            <v>Display</v>
          </cell>
          <cell r="G1516">
            <v>1250</v>
          </cell>
          <cell r="H1516">
            <v>355588</v>
          </cell>
          <cell r="I1516">
            <v>79240</v>
          </cell>
          <cell r="J1516">
            <v>40</v>
          </cell>
        </row>
        <row r="1517">
          <cell r="A1517" t="str">
            <v>Always_OnSASearch</v>
          </cell>
          <cell r="B1517">
            <v>45586</v>
          </cell>
          <cell r="C1517">
            <v>45586</v>
          </cell>
          <cell r="D1517" t="str">
            <v>Always_On</v>
          </cell>
          <cell r="E1517" t="str">
            <v>SA</v>
          </cell>
          <cell r="F1517" t="str">
            <v>Search</v>
          </cell>
          <cell r="G1517">
            <v>2203</v>
          </cell>
          <cell r="H1517">
            <v>23937</v>
          </cell>
          <cell r="I1517">
            <v>20881</v>
          </cell>
          <cell r="J1517">
            <v>745</v>
          </cell>
        </row>
        <row r="1518">
          <cell r="A1518" t="str">
            <v>Always_OnEGYouTube</v>
          </cell>
          <cell r="B1518">
            <v>45586</v>
          </cell>
          <cell r="C1518">
            <v>45586</v>
          </cell>
          <cell r="D1518" t="str">
            <v>Always_On</v>
          </cell>
          <cell r="E1518" t="str">
            <v>EG</v>
          </cell>
          <cell r="F1518" t="str">
            <v>YouTube</v>
          </cell>
          <cell r="G1518">
            <v>4070</v>
          </cell>
          <cell r="H1518">
            <v>256856</v>
          </cell>
          <cell r="I1518">
            <v>98849</v>
          </cell>
          <cell r="J1518">
            <v>499</v>
          </cell>
        </row>
        <row r="1519">
          <cell r="A1519" t="str">
            <v>Always_OnEGSocial</v>
          </cell>
          <cell r="B1519">
            <v>45586</v>
          </cell>
          <cell r="C1519">
            <v>45586</v>
          </cell>
          <cell r="D1519" t="str">
            <v>Always_On</v>
          </cell>
          <cell r="E1519" t="str">
            <v>EG</v>
          </cell>
          <cell r="F1519" t="str">
            <v>Social</v>
          </cell>
          <cell r="G1519">
            <v>4570</v>
          </cell>
          <cell r="H1519">
            <v>382265</v>
          </cell>
          <cell r="I1519">
            <v>136845</v>
          </cell>
          <cell r="J1519">
            <v>566</v>
          </cell>
        </row>
        <row r="1520">
          <cell r="A1520" t="str">
            <v>Always_OnEGDisplay</v>
          </cell>
          <cell r="B1520">
            <v>45586</v>
          </cell>
          <cell r="C1520">
            <v>45586</v>
          </cell>
          <cell r="D1520" t="str">
            <v>Always_On</v>
          </cell>
          <cell r="E1520" t="str">
            <v>EG</v>
          </cell>
          <cell r="F1520" t="str">
            <v>Display</v>
          </cell>
          <cell r="G1520">
            <v>2447</v>
          </cell>
          <cell r="H1520">
            <v>550338</v>
          </cell>
          <cell r="I1520">
            <v>123793</v>
          </cell>
          <cell r="J1520">
            <v>84</v>
          </cell>
        </row>
        <row r="1521">
          <cell r="A1521" t="str">
            <v>Always_OnEGSearch</v>
          </cell>
          <cell r="B1521">
            <v>45586</v>
          </cell>
          <cell r="C1521">
            <v>45586</v>
          </cell>
          <cell r="D1521" t="str">
            <v>Always_On</v>
          </cell>
          <cell r="E1521" t="str">
            <v>EG</v>
          </cell>
          <cell r="F1521" t="str">
            <v>Search</v>
          </cell>
          <cell r="G1521">
            <v>4083</v>
          </cell>
          <cell r="H1521">
            <v>53294</v>
          </cell>
          <cell r="I1521">
            <v>46259</v>
          </cell>
          <cell r="J1521">
            <v>1173</v>
          </cell>
        </row>
        <row r="1522">
          <cell r="A1522" t="str">
            <v>Always_OnUKYouTube</v>
          </cell>
          <cell r="B1522">
            <v>45593</v>
          </cell>
          <cell r="C1522">
            <v>45593</v>
          </cell>
          <cell r="D1522" t="str">
            <v>Always_On</v>
          </cell>
          <cell r="E1522" t="str">
            <v>UK</v>
          </cell>
          <cell r="F1522" t="str">
            <v>YouTube</v>
          </cell>
          <cell r="G1522">
            <v>6831</v>
          </cell>
          <cell r="H1522">
            <v>428616</v>
          </cell>
          <cell r="I1522">
            <v>150975</v>
          </cell>
          <cell r="J1522">
            <v>207</v>
          </cell>
        </row>
        <row r="1523">
          <cell r="A1523" t="str">
            <v>Always_OnUKSocial</v>
          </cell>
          <cell r="B1523">
            <v>45593</v>
          </cell>
          <cell r="C1523">
            <v>45593</v>
          </cell>
          <cell r="D1523" t="str">
            <v>Always_On</v>
          </cell>
          <cell r="E1523" t="str">
            <v>UK</v>
          </cell>
          <cell r="F1523" t="str">
            <v>Social</v>
          </cell>
          <cell r="G1523">
            <v>4195</v>
          </cell>
          <cell r="H1523">
            <v>335610</v>
          </cell>
          <cell r="I1523">
            <v>124512</v>
          </cell>
          <cell r="J1523">
            <v>146</v>
          </cell>
        </row>
        <row r="1524">
          <cell r="A1524" t="str">
            <v>Always_OnUKDisplay</v>
          </cell>
          <cell r="B1524">
            <v>45593</v>
          </cell>
          <cell r="C1524">
            <v>45593</v>
          </cell>
          <cell r="D1524" t="str">
            <v>Always_On</v>
          </cell>
          <cell r="E1524" t="str">
            <v>UK</v>
          </cell>
          <cell r="F1524" t="str">
            <v>Display</v>
          </cell>
          <cell r="G1524">
            <v>3478</v>
          </cell>
          <cell r="H1524">
            <v>832162</v>
          </cell>
          <cell r="I1524">
            <v>151634</v>
          </cell>
          <cell r="J1524">
            <v>26</v>
          </cell>
        </row>
        <row r="1525">
          <cell r="A1525" t="str">
            <v>Always_OnUKSearch</v>
          </cell>
          <cell r="B1525">
            <v>45593</v>
          </cell>
          <cell r="C1525">
            <v>45593</v>
          </cell>
          <cell r="D1525" t="str">
            <v>Always_On</v>
          </cell>
          <cell r="E1525" t="str">
            <v>UK</v>
          </cell>
          <cell r="F1525" t="str">
            <v>Search</v>
          </cell>
          <cell r="G1525">
            <v>5420</v>
          </cell>
          <cell r="H1525">
            <v>69956</v>
          </cell>
          <cell r="I1525">
            <v>60294</v>
          </cell>
          <cell r="J1525">
            <v>432</v>
          </cell>
        </row>
        <row r="1526">
          <cell r="A1526" t="str">
            <v>Always_OnDEYouTube</v>
          </cell>
          <cell r="B1526">
            <v>45593</v>
          </cell>
          <cell r="C1526">
            <v>45593</v>
          </cell>
          <cell r="D1526" t="str">
            <v>Always_On</v>
          </cell>
          <cell r="E1526" t="str">
            <v>DE</v>
          </cell>
          <cell r="F1526" t="str">
            <v>YouTube</v>
          </cell>
          <cell r="G1526">
            <v>7259</v>
          </cell>
          <cell r="H1526">
            <v>532694</v>
          </cell>
          <cell r="I1526">
            <v>231846</v>
          </cell>
          <cell r="J1526">
            <v>240</v>
          </cell>
        </row>
        <row r="1527">
          <cell r="A1527" t="str">
            <v>Always_OnDESocial</v>
          </cell>
          <cell r="B1527">
            <v>45593</v>
          </cell>
          <cell r="C1527">
            <v>45593</v>
          </cell>
          <cell r="D1527" t="str">
            <v>Always_On</v>
          </cell>
          <cell r="E1527" t="str">
            <v>DE</v>
          </cell>
          <cell r="F1527" t="str">
            <v>Social</v>
          </cell>
          <cell r="G1527">
            <v>5945</v>
          </cell>
          <cell r="H1527">
            <v>346455</v>
          </cell>
          <cell r="I1527">
            <v>117329</v>
          </cell>
          <cell r="J1527">
            <v>180</v>
          </cell>
        </row>
        <row r="1528">
          <cell r="A1528" t="str">
            <v>Always_OnDEDisplay</v>
          </cell>
          <cell r="B1528">
            <v>45593</v>
          </cell>
          <cell r="C1528">
            <v>45593</v>
          </cell>
          <cell r="D1528" t="str">
            <v>Always_On</v>
          </cell>
          <cell r="E1528" t="str">
            <v>DE</v>
          </cell>
          <cell r="F1528" t="str">
            <v>Display</v>
          </cell>
          <cell r="G1528">
            <v>3230</v>
          </cell>
          <cell r="H1528">
            <v>887074</v>
          </cell>
          <cell r="I1528">
            <v>197674</v>
          </cell>
          <cell r="J1528">
            <v>25</v>
          </cell>
        </row>
        <row r="1529">
          <cell r="A1529" t="str">
            <v>Always_OnDESearch</v>
          </cell>
          <cell r="B1529">
            <v>45593</v>
          </cell>
          <cell r="C1529">
            <v>45593</v>
          </cell>
          <cell r="D1529" t="str">
            <v>Always_On</v>
          </cell>
          <cell r="E1529" t="str">
            <v>DE</v>
          </cell>
          <cell r="F1529" t="str">
            <v>Search</v>
          </cell>
          <cell r="G1529">
            <v>4844</v>
          </cell>
          <cell r="H1529">
            <v>64857</v>
          </cell>
          <cell r="I1529">
            <v>57372</v>
          </cell>
          <cell r="J1529">
            <v>377</v>
          </cell>
        </row>
        <row r="1530">
          <cell r="A1530" t="str">
            <v>Always_OnSAYouTube</v>
          </cell>
          <cell r="B1530">
            <v>45593</v>
          </cell>
          <cell r="C1530">
            <v>45593</v>
          </cell>
          <cell r="D1530" t="str">
            <v>Always_On</v>
          </cell>
          <cell r="E1530" t="str">
            <v>SA</v>
          </cell>
          <cell r="F1530" t="str">
            <v>YouTube</v>
          </cell>
          <cell r="G1530">
            <v>4878</v>
          </cell>
          <cell r="H1530">
            <v>413734</v>
          </cell>
          <cell r="I1530">
            <v>164790</v>
          </cell>
          <cell r="J1530">
            <v>560</v>
          </cell>
        </row>
        <row r="1531">
          <cell r="A1531" t="str">
            <v>Always_OnSASocial</v>
          </cell>
          <cell r="B1531">
            <v>45593</v>
          </cell>
          <cell r="C1531">
            <v>45593</v>
          </cell>
          <cell r="D1531" t="str">
            <v>Always_On</v>
          </cell>
          <cell r="E1531" t="str">
            <v>SA</v>
          </cell>
          <cell r="F1531" t="str">
            <v>Social</v>
          </cell>
          <cell r="G1531">
            <v>4186</v>
          </cell>
          <cell r="H1531">
            <v>264059</v>
          </cell>
          <cell r="I1531">
            <v>96674</v>
          </cell>
          <cell r="J1531">
            <v>504</v>
          </cell>
        </row>
        <row r="1532">
          <cell r="A1532" t="str">
            <v>Always_OnSADisplay</v>
          </cell>
          <cell r="B1532">
            <v>45593</v>
          </cell>
          <cell r="C1532">
            <v>45593</v>
          </cell>
          <cell r="D1532" t="str">
            <v>Always_On</v>
          </cell>
          <cell r="E1532" t="str">
            <v>SA</v>
          </cell>
          <cell r="F1532" t="str">
            <v>Display</v>
          </cell>
          <cell r="G1532">
            <v>1807</v>
          </cell>
          <cell r="H1532">
            <v>396759</v>
          </cell>
          <cell r="I1532">
            <v>71285</v>
          </cell>
          <cell r="J1532">
            <v>54</v>
          </cell>
        </row>
        <row r="1533">
          <cell r="A1533" t="str">
            <v>Always_OnSASearch</v>
          </cell>
          <cell r="B1533">
            <v>45593</v>
          </cell>
          <cell r="C1533">
            <v>45593</v>
          </cell>
          <cell r="D1533" t="str">
            <v>Always_On</v>
          </cell>
          <cell r="E1533" t="str">
            <v>SA</v>
          </cell>
          <cell r="F1533" t="str">
            <v>Search</v>
          </cell>
          <cell r="G1533">
            <v>3600</v>
          </cell>
          <cell r="H1533">
            <v>44051</v>
          </cell>
          <cell r="I1533">
            <v>36816</v>
          </cell>
          <cell r="J1533">
            <v>1193</v>
          </cell>
        </row>
        <row r="1534">
          <cell r="A1534" t="str">
            <v>Always_OnEGYouTube</v>
          </cell>
          <cell r="B1534">
            <v>45593</v>
          </cell>
          <cell r="C1534">
            <v>45593</v>
          </cell>
          <cell r="D1534" t="str">
            <v>Always_On</v>
          </cell>
          <cell r="E1534" t="str">
            <v>EG</v>
          </cell>
          <cell r="F1534" t="str">
            <v>YouTube</v>
          </cell>
          <cell r="G1534">
            <v>3986</v>
          </cell>
          <cell r="H1534">
            <v>300687</v>
          </cell>
          <cell r="I1534">
            <v>120241</v>
          </cell>
          <cell r="J1534">
            <v>513</v>
          </cell>
        </row>
        <row r="1535">
          <cell r="A1535" t="str">
            <v>Always_OnEGSocial</v>
          </cell>
          <cell r="B1535">
            <v>45593</v>
          </cell>
          <cell r="C1535">
            <v>45593</v>
          </cell>
          <cell r="D1535" t="str">
            <v>Always_On</v>
          </cell>
          <cell r="E1535" t="str">
            <v>EG</v>
          </cell>
          <cell r="F1535" t="str">
            <v>Social</v>
          </cell>
          <cell r="G1535">
            <v>3759</v>
          </cell>
          <cell r="H1535">
            <v>270374</v>
          </cell>
          <cell r="I1535">
            <v>94872</v>
          </cell>
          <cell r="J1535">
            <v>482</v>
          </cell>
        </row>
        <row r="1536">
          <cell r="A1536" t="str">
            <v>Always_OnEGDisplay</v>
          </cell>
          <cell r="B1536">
            <v>45593</v>
          </cell>
          <cell r="C1536">
            <v>45593</v>
          </cell>
          <cell r="D1536" t="str">
            <v>Always_On</v>
          </cell>
          <cell r="E1536" t="str">
            <v>EG</v>
          </cell>
          <cell r="F1536" t="str">
            <v>Display</v>
          </cell>
          <cell r="G1536">
            <v>2600</v>
          </cell>
          <cell r="H1536">
            <v>578867</v>
          </cell>
          <cell r="I1536">
            <v>102208</v>
          </cell>
          <cell r="J1536">
            <v>77</v>
          </cell>
        </row>
        <row r="1537">
          <cell r="A1537" t="str">
            <v>Always_OnEGSearch</v>
          </cell>
          <cell r="B1537">
            <v>45593</v>
          </cell>
          <cell r="C1537">
            <v>45593</v>
          </cell>
          <cell r="D1537" t="str">
            <v>Always_On</v>
          </cell>
          <cell r="E1537" t="str">
            <v>EG</v>
          </cell>
          <cell r="F1537" t="str">
            <v>Search</v>
          </cell>
          <cell r="G1537">
            <v>2569</v>
          </cell>
          <cell r="H1537">
            <v>32036</v>
          </cell>
          <cell r="I1537">
            <v>26728</v>
          </cell>
          <cell r="J1537">
            <v>795</v>
          </cell>
        </row>
        <row r="1538">
          <cell r="A1538" t="str">
            <v>Always_OnUKYouTube</v>
          </cell>
          <cell r="B1538">
            <v>45600</v>
          </cell>
          <cell r="C1538">
            <v>45600</v>
          </cell>
          <cell r="D1538" t="str">
            <v>Always_On</v>
          </cell>
          <cell r="E1538" t="str">
            <v>UK</v>
          </cell>
          <cell r="F1538" t="str">
            <v>YouTube</v>
          </cell>
          <cell r="G1538">
            <v>6745</v>
          </cell>
          <cell r="H1538">
            <v>583672</v>
          </cell>
          <cell r="I1538">
            <v>218273</v>
          </cell>
          <cell r="J1538">
            <v>248</v>
          </cell>
        </row>
        <row r="1539">
          <cell r="A1539" t="str">
            <v>Always_OnUKSocial</v>
          </cell>
          <cell r="B1539">
            <v>45600</v>
          </cell>
          <cell r="C1539">
            <v>45600</v>
          </cell>
          <cell r="D1539" t="str">
            <v>Always_On</v>
          </cell>
          <cell r="E1539" t="str">
            <v>UK</v>
          </cell>
          <cell r="F1539" t="str">
            <v>Social</v>
          </cell>
          <cell r="G1539">
            <v>5144</v>
          </cell>
          <cell r="H1539">
            <v>451839</v>
          </cell>
          <cell r="I1539">
            <v>169483</v>
          </cell>
          <cell r="J1539">
            <v>159</v>
          </cell>
        </row>
        <row r="1540">
          <cell r="A1540" t="str">
            <v>Always_OnUKDisplay</v>
          </cell>
          <cell r="B1540">
            <v>45600</v>
          </cell>
          <cell r="C1540">
            <v>45600</v>
          </cell>
          <cell r="D1540" t="str">
            <v>Always_On</v>
          </cell>
          <cell r="E1540" t="str">
            <v>UK</v>
          </cell>
          <cell r="F1540" t="str">
            <v>Display</v>
          </cell>
          <cell r="G1540">
            <v>3860</v>
          </cell>
          <cell r="H1540">
            <v>949944</v>
          </cell>
          <cell r="I1540">
            <v>209445</v>
          </cell>
          <cell r="J1540">
            <v>30</v>
          </cell>
        </row>
        <row r="1541">
          <cell r="A1541" t="str">
            <v>Always_OnUKSearch</v>
          </cell>
          <cell r="B1541">
            <v>45600</v>
          </cell>
          <cell r="C1541">
            <v>45600</v>
          </cell>
          <cell r="D1541" t="str">
            <v>Always_On</v>
          </cell>
          <cell r="E1541" t="str">
            <v>UK</v>
          </cell>
          <cell r="F1541" t="str">
            <v>Search</v>
          </cell>
          <cell r="G1541">
            <v>5586</v>
          </cell>
          <cell r="H1541">
            <v>82483</v>
          </cell>
          <cell r="I1541">
            <v>69542</v>
          </cell>
          <cell r="J1541">
            <v>435</v>
          </cell>
        </row>
        <row r="1542">
          <cell r="A1542" t="str">
            <v>Always_OnDEYouTube</v>
          </cell>
          <cell r="B1542">
            <v>45600</v>
          </cell>
          <cell r="C1542">
            <v>45600</v>
          </cell>
          <cell r="D1542" t="str">
            <v>Always_On</v>
          </cell>
          <cell r="E1542" t="str">
            <v>DE</v>
          </cell>
          <cell r="F1542" t="str">
            <v>YouTube</v>
          </cell>
          <cell r="G1542">
            <v>3161</v>
          </cell>
          <cell r="H1542">
            <v>172846</v>
          </cell>
          <cell r="I1542">
            <v>60147</v>
          </cell>
          <cell r="J1542">
            <v>99</v>
          </cell>
        </row>
        <row r="1543">
          <cell r="A1543" t="str">
            <v>Always_OnDESocial</v>
          </cell>
          <cell r="B1543">
            <v>45600</v>
          </cell>
          <cell r="C1543">
            <v>45600</v>
          </cell>
          <cell r="D1543" t="str">
            <v>Always_On</v>
          </cell>
          <cell r="E1543" t="str">
            <v>DE</v>
          </cell>
          <cell r="F1543" t="str">
            <v>Social</v>
          </cell>
          <cell r="G1543">
            <v>4341</v>
          </cell>
          <cell r="H1543">
            <v>245993</v>
          </cell>
          <cell r="I1543">
            <v>83794</v>
          </cell>
          <cell r="J1543">
            <v>158</v>
          </cell>
        </row>
        <row r="1544">
          <cell r="A1544" t="str">
            <v>Always_OnDEDisplay</v>
          </cell>
          <cell r="B1544">
            <v>45600</v>
          </cell>
          <cell r="C1544">
            <v>45600</v>
          </cell>
          <cell r="D1544" t="str">
            <v>Always_On</v>
          </cell>
          <cell r="E1544" t="str">
            <v>DE</v>
          </cell>
          <cell r="F1544" t="str">
            <v>Display</v>
          </cell>
          <cell r="G1544">
            <v>3999</v>
          </cell>
          <cell r="H1544">
            <v>1042530</v>
          </cell>
          <cell r="I1544">
            <v>230290</v>
          </cell>
          <cell r="J1544">
            <v>32</v>
          </cell>
        </row>
        <row r="1545">
          <cell r="A1545" t="str">
            <v>Always_OnDESearch</v>
          </cell>
          <cell r="B1545">
            <v>45600</v>
          </cell>
          <cell r="C1545">
            <v>45600</v>
          </cell>
          <cell r="D1545" t="str">
            <v>Always_On</v>
          </cell>
          <cell r="E1545" t="str">
            <v>DE</v>
          </cell>
          <cell r="F1545" t="str">
            <v>Search</v>
          </cell>
          <cell r="G1545">
            <v>5944</v>
          </cell>
          <cell r="H1545">
            <v>68081</v>
          </cell>
          <cell r="I1545">
            <v>60161</v>
          </cell>
          <cell r="J1545">
            <v>487</v>
          </cell>
        </row>
        <row r="1546">
          <cell r="A1546" t="str">
            <v>Always_OnSAYouTube</v>
          </cell>
          <cell r="B1546">
            <v>45600</v>
          </cell>
          <cell r="C1546">
            <v>45600</v>
          </cell>
          <cell r="D1546" t="str">
            <v>Always_On</v>
          </cell>
          <cell r="E1546" t="str">
            <v>SA</v>
          </cell>
          <cell r="F1546" t="str">
            <v>YouTube</v>
          </cell>
          <cell r="G1546">
            <v>1987</v>
          </cell>
          <cell r="H1546">
            <v>127108</v>
          </cell>
          <cell r="I1546">
            <v>44065</v>
          </cell>
          <cell r="J1546">
            <v>269</v>
          </cell>
        </row>
        <row r="1547">
          <cell r="A1547" t="str">
            <v>Always_OnSASocial</v>
          </cell>
          <cell r="B1547">
            <v>45600</v>
          </cell>
          <cell r="C1547">
            <v>45600</v>
          </cell>
          <cell r="D1547" t="str">
            <v>Always_On</v>
          </cell>
          <cell r="E1547" t="str">
            <v>SA</v>
          </cell>
          <cell r="F1547" t="str">
            <v>Social</v>
          </cell>
          <cell r="G1547">
            <v>4642</v>
          </cell>
          <cell r="H1547">
            <v>361198</v>
          </cell>
          <cell r="I1547">
            <v>121431</v>
          </cell>
          <cell r="J1547">
            <v>631</v>
          </cell>
        </row>
        <row r="1548">
          <cell r="A1548" t="str">
            <v>Always_OnSADisplay</v>
          </cell>
          <cell r="B1548">
            <v>45600</v>
          </cell>
          <cell r="C1548">
            <v>45600</v>
          </cell>
          <cell r="D1548" t="str">
            <v>Always_On</v>
          </cell>
          <cell r="E1548" t="str">
            <v>SA</v>
          </cell>
          <cell r="F1548" t="str">
            <v>Display</v>
          </cell>
          <cell r="G1548">
            <v>2615</v>
          </cell>
          <cell r="H1548">
            <v>619177</v>
          </cell>
          <cell r="I1548">
            <v>113537</v>
          </cell>
          <cell r="J1548">
            <v>76</v>
          </cell>
        </row>
        <row r="1549">
          <cell r="A1549" t="str">
            <v>Always_OnSASearch</v>
          </cell>
          <cell r="B1549">
            <v>45600</v>
          </cell>
          <cell r="C1549">
            <v>45600</v>
          </cell>
          <cell r="D1549" t="str">
            <v>Always_On</v>
          </cell>
          <cell r="E1549" t="str">
            <v>SA</v>
          </cell>
          <cell r="F1549" t="str">
            <v>Search</v>
          </cell>
          <cell r="G1549">
            <v>2954</v>
          </cell>
          <cell r="H1549">
            <v>35435</v>
          </cell>
          <cell r="I1549">
            <v>30216</v>
          </cell>
          <cell r="J1549">
            <v>900</v>
          </cell>
        </row>
        <row r="1550">
          <cell r="A1550" t="str">
            <v>Always_OnEGYouTube</v>
          </cell>
          <cell r="B1550">
            <v>45600</v>
          </cell>
          <cell r="C1550">
            <v>45600</v>
          </cell>
          <cell r="D1550" t="str">
            <v>Always_On</v>
          </cell>
          <cell r="E1550" t="str">
            <v>EG</v>
          </cell>
          <cell r="F1550" t="str">
            <v>YouTube</v>
          </cell>
          <cell r="G1550">
            <v>2325</v>
          </cell>
          <cell r="H1550">
            <v>204257</v>
          </cell>
          <cell r="I1550">
            <v>74387</v>
          </cell>
          <cell r="J1550">
            <v>322</v>
          </cell>
        </row>
        <row r="1551">
          <cell r="A1551" t="str">
            <v>Always_OnEGSocial</v>
          </cell>
          <cell r="B1551">
            <v>45600</v>
          </cell>
          <cell r="C1551">
            <v>45600</v>
          </cell>
          <cell r="D1551" t="str">
            <v>Always_On</v>
          </cell>
          <cell r="E1551" t="str">
            <v>EG</v>
          </cell>
          <cell r="F1551" t="str">
            <v>Social</v>
          </cell>
          <cell r="G1551">
            <v>2754</v>
          </cell>
          <cell r="H1551">
            <v>140177</v>
          </cell>
          <cell r="I1551">
            <v>52843</v>
          </cell>
          <cell r="J1551">
            <v>336</v>
          </cell>
        </row>
        <row r="1552">
          <cell r="A1552" t="str">
            <v>Always_OnEGDisplay</v>
          </cell>
          <cell r="B1552">
            <v>45600</v>
          </cell>
          <cell r="C1552">
            <v>45600</v>
          </cell>
          <cell r="D1552" t="str">
            <v>Always_On</v>
          </cell>
          <cell r="E1552" t="str">
            <v>EG</v>
          </cell>
          <cell r="F1552" t="str">
            <v>Display</v>
          </cell>
          <cell r="G1552">
            <v>2709</v>
          </cell>
          <cell r="H1552">
            <v>684907</v>
          </cell>
          <cell r="I1552">
            <v>120758</v>
          </cell>
          <cell r="J1552">
            <v>88</v>
          </cell>
        </row>
        <row r="1553">
          <cell r="A1553" t="str">
            <v>Always_OnEGSearch</v>
          </cell>
          <cell r="B1553">
            <v>45600</v>
          </cell>
          <cell r="C1553">
            <v>45600</v>
          </cell>
          <cell r="D1553" t="str">
            <v>Always_On</v>
          </cell>
          <cell r="E1553" t="str">
            <v>EG</v>
          </cell>
          <cell r="F1553" t="str">
            <v>Search</v>
          </cell>
          <cell r="G1553">
            <v>1970</v>
          </cell>
          <cell r="H1553">
            <v>20681</v>
          </cell>
          <cell r="I1553">
            <v>18713</v>
          </cell>
          <cell r="J1553">
            <v>609</v>
          </cell>
        </row>
        <row r="1554">
          <cell r="A1554" t="str">
            <v>Always_OnUKYouTube</v>
          </cell>
          <cell r="B1554">
            <v>45607</v>
          </cell>
          <cell r="C1554">
            <v>45607</v>
          </cell>
          <cell r="D1554" t="str">
            <v>Always_On</v>
          </cell>
          <cell r="E1554" t="str">
            <v>UK</v>
          </cell>
          <cell r="F1554" t="str">
            <v>YouTube</v>
          </cell>
          <cell r="G1554">
            <v>5904</v>
          </cell>
          <cell r="H1554">
            <v>332222</v>
          </cell>
          <cell r="I1554">
            <v>149270</v>
          </cell>
          <cell r="J1554">
            <v>187</v>
          </cell>
        </row>
        <row r="1555">
          <cell r="A1555" t="str">
            <v>Always_OnUKSocial</v>
          </cell>
          <cell r="B1555">
            <v>45607</v>
          </cell>
          <cell r="C1555">
            <v>45607</v>
          </cell>
          <cell r="D1555" t="str">
            <v>Always_On</v>
          </cell>
          <cell r="E1555" t="str">
            <v>UK</v>
          </cell>
          <cell r="F1555" t="str">
            <v>Social</v>
          </cell>
          <cell r="G1555">
            <v>3297</v>
          </cell>
          <cell r="H1555">
            <v>257684</v>
          </cell>
          <cell r="I1555">
            <v>114807</v>
          </cell>
          <cell r="J1555">
            <v>105</v>
          </cell>
        </row>
        <row r="1556">
          <cell r="A1556" t="str">
            <v>Always_OnUKDisplay</v>
          </cell>
          <cell r="B1556">
            <v>45607</v>
          </cell>
          <cell r="C1556">
            <v>45607</v>
          </cell>
          <cell r="D1556" t="str">
            <v>Always_On</v>
          </cell>
          <cell r="E1556" t="str">
            <v>UK</v>
          </cell>
          <cell r="F1556" t="str">
            <v>Display</v>
          </cell>
          <cell r="G1556">
            <v>3616</v>
          </cell>
          <cell r="H1556">
            <v>1055366</v>
          </cell>
          <cell r="I1556">
            <v>189928</v>
          </cell>
          <cell r="J1556">
            <v>29</v>
          </cell>
        </row>
        <row r="1557">
          <cell r="A1557" t="str">
            <v>Always_OnUKSearch</v>
          </cell>
          <cell r="B1557">
            <v>45607</v>
          </cell>
          <cell r="C1557">
            <v>45607</v>
          </cell>
          <cell r="D1557" t="str">
            <v>Always_On</v>
          </cell>
          <cell r="E1557" t="str">
            <v>UK</v>
          </cell>
          <cell r="F1557" t="str">
            <v>Search</v>
          </cell>
          <cell r="G1557">
            <v>4793</v>
          </cell>
          <cell r="H1557">
            <v>49484</v>
          </cell>
          <cell r="I1557">
            <v>43606</v>
          </cell>
          <cell r="J1557">
            <v>388</v>
          </cell>
        </row>
        <row r="1558">
          <cell r="A1558" t="str">
            <v>Always_OnDEYouTube</v>
          </cell>
          <cell r="B1558">
            <v>45607</v>
          </cell>
          <cell r="C1558">
            <v>45607</v>
          </cell>
          <cell r="D1558" t="str">
            <v>Always_On</v>
          </cell>
          <cell r="E1558" t="str">
            <v>DE</v>
          </cell>
          <cell r="F1558" t="str">
            <v>YouTube</v>
          </cell>
          <cell r="G1558">
            <v>3513</v>
          </cell>
          <cell r="H1558">
            <v>239315</v>
          </cell>
          <cell r="I1558">
            <v>83009</v>
          </cell>
          <cell r="J1558">
            <v>109</v>
          </cell>
        </row>
        <row r="1559">
          <cell r="A1559" t="str">
            <v>Always_OnDESocial</v>
          </cell>
          <cell r="B1559">
            <v>45607</v>
          </cell>
          <cell r="C1559">
            <v>45607</v>
          </cell>
          <cell r="D1559" t="str">
            <v>Always_On</v>
          </cell>
          <cell r="E1559" t="str">
            <v>DE</v>
          </cell>
          <cell r="F1559" t="str">
            <v>Social</v>
          </cell>
          <cell r="G1559">
            <v>3156</v>
          </cell>
          <cell r="H1559">
            <v>260174</v>
          </cell>
          <cell r="I1559">
            <v>126512</v>
          </cell>
          <cell r="J1559">
            <v>98</v>
          </cell>
        </row>
        <row r="1560">
          <cell r="A1560" t="str">
            <v>Always_OnDEDisplay</v>
          </cell>
          <cell r="B1560">
            <v>45607</v>
          </cell>
          <cell r="C1560">
            <v>45607</v>
          </cell>
          <cell r="D1560" t="str">
            <v>Always_On</v>
          </cell>
          <cell r="E1560" t="str">
            <v>DE</v>
          </cell>
          <cell r="F1560" t="str">
            <v>Display</v>
          </cell>
          <cell r="G1560">
            <v>2852</v>
          </cell>
          <cell r="H1560">
            <v>825324</v>
          </cell>
          <cell r="I1560">
            <v>169437</v>
          </cell>
          <cell r="J1560">
            <v>22</v>
          </cell>
        </row>
        <row r="1561">
          <cell r="A1561" t="str">
            <v>Always_OnDESearch</v>
          </cell>
          <cell r="B1561">
            <v>45607</v>
          </cell>
          <cell r="C1561">
            <v>45607</v>
          </cell>
          <cell r="D1561" t="str">
            <v>Always_On</v>
          </cell>
          <cell r="E1561" t="str">
            <v>DE</v>
          </cell>
          <cell r="F1561" t="str">
            <v>Search</v>
          </cell>
          <cell r="G1561">
            <v>7948</v>
          </cell>
          <cell r="H1561">
            <v>103979</v>
          </cell>
          <cell r="I1561">
            <v>92482</v>
          </cell>
          <cell r="J1561">
            <v>699</v>
          </cell>
        </row>
        <row r="1562">
          <cell r="A1562" t="str">
            <v>Always_OnSAYouTube</v>
          </cell>
          <cell r="B1562">
            <v>45607</v>
          </cell>
          <cell r="C1562">
            <v>45607</v>
          </cell>
          <cell r="D1562" t="str">
            <v>Always_On</v>
          </cell>
          <cell r="E1562" t="str">
            <v>SA</v>
          </cell>
          <cell r="F1562" t="str">
            <v>YouTube</v>
          </cell>
          <cell r="G1562">
            <v>5232</v>
          </cell>
          <cell r="H1562">
            <v>274601</v>
          </cell>
          <cell r="I1562">
            <v>111934</v>
          </cell>
          <cell r="J1562">
            <v>698</v>
          </cell>
        </row>
        <row r="1563">
          <cell r="A1563" t="str">
            <v>Always_OnSASocial</v>
          </cell>
          <cell r="B1563">
            <v>45607</v>
          </cell>
          <cell r="C1563">
            <v>45607</v>
          </cell>
          <cell r="D1563" t="str">
            <v>Always_On</v>
          </cell>
          <cell r="E1563" t="str">
            <v>SA</v>
          </cell>
          <cell r="F1563" t="str">
            <v>Social</v>
          </cell>
          <cell r="G1563">
            <v>5178</v>
          </cell>
          <cell r="H1563">
            <v>321896</v>
          </cell>
          <cell r="I1563">
            <v>121183</v>
          </cell>
          <cell r="J1563">
            <v>612</v>
          </cell>
        </row>
        <row r="1564">
          <cell r="A1564" t="str">
            <v>Always_OnSADisplay</v>
          </cell>
          <cell r="B1564">
            <v>45607</v>
          </cell>
          <cell r="C1564">
            <v>45607</v>
          </cell>
          <cell r="D1564" t="str">
            <v>Always_On</v>
          </cell>
          <cell r="E1564" t="str">
            <v>SA</v>
          </cell>
          <cell r="F1564" t="str">
            <v>Display</v>
          </cell>
          <cell r="G1564">
            <v>1958</v>
          </cell>
          <cell r="H1564">
            <v>412338</v>
          </cell>
          <cell r="I1564">
            <v>80125</v>
          </cell>
          <cell r="J1564">
            <v>61</v>
          </cell>
        </row>
        <row r="1565">
          <cell r="A1565" t="str">
            <v>Always_OnSASearch</v>
          </cell>
          <cell r="B1565">
            <v>45607</v>
          </cell>
          <cell r="C1565">
            <v>45607</v>
          </cell>
          <cell r="D1565" t="str">
            <v>Always_On</v>
          </cell>
          <cell r="E1565" t="str">
            <v>SA</v>
          </cell>
          <cell r="F1565" t="str">
            <v>Search</v>
          </cell>
          <cell r="G1565">
            <v>4361</v>
          </cell>
          <cell r="H1565">
            <v>53081</v>
          </cell>
          <cell r="I1565">
            <v>45693</v>
          </cell>
          <cell r="J1565">
            <v>1421</v>
          </cell>
        </row>
        <row r="1566">
          <cell r="A1566" t="str">
            <v>Always_OnEGYouTube</v>
          </cell>
          <cell r="B1566">
            <v>45607</v>
          </cell>
          <cell r="C1566">
            <v>45607</v>
          </cell>
          <cell r="D1566" t="str">
            <v>Always_On</v>
          </cell>
          <cell r="E1566" t="str">
            <v>EG</v>
          </cell>
          <cell r="F1566" t="str">
            <v>YouTube</v>
          </cell>
          <cell r="G1566">
            <v>4617</v>
          </cell>
          <cell r="H1566">
            <v>324011</v>
          </cell>
          <cell r="I1566">
            <v>125444</v>
          </cell>
          <cell r="J1566">
            <v>623</v>
          </cell>
        </row>
        <row r="1567">
          <cell r="A1567" t="str">
            <v>Always_OnEGSocial</v>
          </cell>
          <cell r="B1567">
            <v>45607</v>
          </cell>
          <cell r="C1567">
            <v>45607</v>
          </cell>
          <cell r="D1567" t="str">
            <v>Always_On</v>
          </cell>
          <cell r="E1567" t="str">
            <v>EG</v>
          </cell>
          <cell r="F1567" t="str">
            <v>Social</v>
          </cell>
          <cell r="G1567">
            <v>3029</v>
          </cell>
          <cell r="H1567">
            <v>260948</v>
          </cell>
          <cell r="I1567">
            <v>94101</v>
          </cell>
          <cell r="J1567">
            <v>355</v>
          </cell>
        </row>
        <row r="1568">
          <cell r="A1568" t="str">
            <v>Always_OnEGDisplay</v>
          </cell>
          <cell r="B1568">
            <v>45607</v>
          </cell>
          <cell r="C1568">
            <v>45607</v>
          </cell>
          <cell r="D1568" t="str">
            <v>Always_On</v>
          </cell>
          <cell r="E1568" t="str">
            <v>EG</v>
          </cell>
          <cell r="F1568" t="str">
            <v>Display</v>
          </cell>
          <cell r="G1568">
            <v>2034</v>
          </cell>
          <cell r="H1568">
            <v>479760</v>
          </cell>
          <cell r="I1568">
            <v>106778</v>
          </cell>
          <cell r="J1568">
            <v>58</v>
          </cell>
        </row>
        <row r="1569">
          <cell r="A1569" t="str">
            <v>Always_OnEGSearch</v>
          </cell>
          <cell r="B1569">
            <v>45607</v>
          </cell>
          <cell r="C1569">
            <v>45607</v>
          </cell>
          <cell r="D1569" t="str">
            <v>Always_On</v>
          </cell>
          <cell r="E1569" t="str">
            <v>EG</v>
          </cell>
          <cell r="F1569" t="str">
            <v>Search</v>
          </cell>
          <cell r="G1569">
            <v>4704</v>
          </cell>
          <cell r="H1569">
            <v>54753</v>
          </cell>
          <cell r="I1569">
            <v>49410</v>
          </cell>
          <cell r="J1569">
            <v>1553</v>
          </cell>
        </row>
        <row r="1570">
          <cell r="A1570" t="str">
            <v>Always_OnUKYouTube</v>
          </cell>
          <cell r="B1570">
            <v>45614</v>
          </cell>
          <cell r="C1570">
            <v>45614</v>
          </cell>
          <cell r="D1570" t="str">
            <v>Always_On</v>
          </cell>
          <cell r="E1570" t="str">
            <v>UK</v>
          </cell>
          <cell r="F1570" t="str">
            <v>YouTube</v>
          </cell>
          <cell r="G1570">
            <v>3758</v>
          </cell>
          <cell r="H1570">
            <v>282664</v>
          </cell>
          <cell r="I1570">
            <v>110156</v>
          </cell>
          <cell r="J1570">
            <v>132</v>
          </cell>
        </row>
        <row r="1571">
          <cell r="A1571" t="str">
            <v>Always_OnUKSocial</v>
          </cell>
          <cell r="B1571">
            <v>45614</v>
          </cell>
          <cell r="C1571">
            <v>45614</v>
          </cell>
          <cell r="D1571" t="str">
            <v>Always_On</v>
          </cell>
          <cell r="E1571" t="str">
            <v>UK</v>
          </cell>
          <cell r="F1571" t="str">
            <v>Social</v>
          </cell>
          <cell r="G1571">
            <v>6006</v>
          </cell>
          <cell r="H1571">
            <v>539995</v>
          </cell>
          <cell r="I1571">
            <v>202521</v>
          </cell>
          <cell r="J1571">
            <v>215</v>
          </cell>
        </row>
        <row r="1572">
          <cell r="A1572" t="str">
            <v>Always_OnUKDisplay</v>
          </cell>
          <cell r="B1572">
            <v>45614</v>
          </cell>
          <cell r="C1572">
            <v>45614</v>
          </cell>
          <cell r="D1572" t="str">
            <v>Always_On</v>
          </cell>
          <cell r="E1572" t="str">
            <v>UK</v>
          </cell>
          <cell r="F1572" t="str">
            <v>Display</v>
          </cell>
          <cell r="G1572">
            <v>2523</v>
          </cell>
          <cell r="H1572">
            <v>666423</v>
          </cell>
          <cell r="I1572">
            <v>150026</v>
          </cell>
          <cell r="J1572">
            <v>21</v>
          </cell>
        </row>
        <row r="1573">
          <cell r="A1573" t="str">
            <v>Always_OnUKSearch</v>
          </cell>
          <cell r="B1573">
            <v>45614</v>
          </cell>
          <cell r="C1573">
            <v>45614</v>
          </cell>
          <cell r="D1573" t="str">
            <v>Always_On</v>
          </cell>
          <cell r="E1573" t="str">
            <v>UK</v>
          </cell>
          <cell r="F1573" t="str">
            <v>Search</v>
          </cell>
          <cell r="G1573">
            <v>3997</v>
          </cell>
          <cell r="H1573">
            <v>55015</v>
          </cell>
          <cell r="I1573">
            <v>46905</v>
          </cell>
          <cell r="J1573">
            <v>322</v>
          </cell>
        </row>
        <row r="1574">
          <cell r="A1574" t="str">
            <v>Always_OnDEYouTube</v>
          </cell>
          <cell r="B1574">
            <v>45614</v>
          </cell>
          <cell r="C1574">
            <v>45614</v>
          </cell>
          <cell r="D1574" t="str">
            <v>Always_On</v>
          </cell>
          <cell r="E1574" t="str">
            <v>DE</v>
          </cell>
          <cell r="F1574" t="str">
            <v>YouTube</v>
          </cell>
          <cell r="G1574">
            <v>6981</v>
          </cell>
          <cell r="H1574">
            <v>580383</v>
          </cell>
          <cell r="I1574">
            <v>273414</v>
          </cell>
          <cell r="J1574">
            <v>220</v>
          </cell>
        </row>
        <row r="1575">
          <cell r="A1575" t="str">
            <v>Always_OnDESocial</v>
          </cell>
          <cell r="B1575">
            <v>45614</v>
          </cell>
          <cell r="C1575">
            <v>45614</v>
          </cell>
          <cell r="D1575" t="str">
            <v>Always_On</v>
          </cell>
          <cell r="E1575" t="str">
            <v>DE</v>
          </cell>
          <cell r="F1575" t="str">
            <v>Social</v>
          </cell>
          <cell r="G1575">
            <v>6912</v>
          </cell>
          <cell r="H1575">
            <v>572889</v>
          </cell>
          <cell r="I1575">
            <v>275112</v>
          </cell>
          <cell r="J1575">
            <v>248</v>
          </cell>
        </row>
        <row r="1576">
          <cell r="A1576" t="str">
            <v>Always_OnDEDisplay</v>
          </cell>
          <cell r="B1576">
            <v>45614</v>
          </cell>
          <cell r="C1576">
            <v>45614</v>
          </cell>
          <cell r="D1576" t="str">
            <v>Always_On</v>
          </cell>
          <cell r="E1576" t="str">
            <v>DE</v>
          </cell>
          <cell r="F1576" t="str">
            <v>Display</v>
          </cell>
          <cell r="G1576">
            <v>3907</v>
          </cell>
          <cell r="H1576">
            <v>1071092</v>
          </cell>
          <cell r="I1576">
            <v>178833</v>
          </cell>
          <cell r="J1576">
            <v>35</v>
          </cell>
        </row>
        <row r="1577">
          <cell r="A1577" t="str">
            <v>Always_OnDESearch</v>
          </cell>
          <cell r="B1577">
            <v>45614</v>
          </cell>
          <cell r="C1577">
            <v>45614</v>
          </cell>
          <cell r="D1577" t="str">
            <v>Always_On</v>
          </cell>
          <cell r="E1577" t="str">
            <v>DE</v>
          </cell>
          <cell r="F1577" t="str">
            <v>Search</v>
          </cell>
          <cell r="G1577">
            <v>6514</v>
          </cell>
          <cell r="H1577">
            <v>77689</v>
          </cell>
          <cell r="I1577">
            <v>66834</v>
          </cell>
          <cell r="J1577">
            <v>527</v>
          </cell>
        </row>
        <row r="1578">
          <cell r="A1578" t="str">
            <v>Always_OnSAYouTube</v>
          </cell>
          <cell r="B1578">
            <v>45614</v>
          </cell>
          <cell r="C1578">
            <v>45614</v>
          </cell>
          <cell r="D1578" t="str">
            <v>Always_On</v>
          </cell>
          <cell r="E1578" t="str">
            <v>SA</v>
          </cell>
          <cell r="F1578" t="str">
            <v>YouTube</v>
          </cell>
          <cell r="G1578">
            <v>4025</v>
          </cell>
          <cell r="H1578">
            <v>336954</v>
          </cell>
          <cell r="I1578">
            <v>129078</v>
          </cell>
          <cell r="J1578">
            <v>504</v>
          </cell>
        </row>
        <row r="1579">
          <cell r="A1579" t="str">
            <v>Always_OnSASocial</v>
          </cell>
          <cell r="B1579">
            <v>45614</v>
          </cell>
          <cell r="C1579">
            <v>45614</v>
          </cell>
          <cell r="D1579" t="str">
            <v>Always_On</v>
          </cell>
          <cell r="E1579" t="str">
            <v>SA</v>
          </cell>
          <cell r="F1579" t="str">
            <v>Social</v>
          </cell>
          <cell r="G1579">
            <v>3204</v>
          </cell>
          <cell r="H1579">
            <v>265359</v>
          </cell>
          <cell r="I1579">
            <v>100284</v>
          </cell>
          <cell r="J1579">
            <v>368</v>
          </cell>
        </row>
        <row r="1580">
          <cell r="A1580" t="str">
            <v>Always_OnSADisplay</v>
          </cell>
          <cell r="B1580">
            <v>45614</v>
          </cell>
          <cell r="C1580">
            <v>45614</v>
          </cell>
          <cell r="D1580" t="str">
            <v>Always_On</v>
          </cell>
          <cell r="E1580" t="str">
            <v>SA</v>
          </cell>
          <cell r="F1580" t="str">
            <v>Display</v>
          </cell>
          <cell r="G1580">
            <v>3017</v>
          </cell>
          <cell r="H1580">
            <v>864776</v>
          </cell>
          <cell r="I1580">
            <v>160091</v>
          </cell>
          <cell r="J1580">
            <v>87</v>
          </cell>
        </row>
        <row r="1581">
          <cell r="A1581" t="str">
            <v>Always_OnSASearch</v>
          </cell>
          <cell r="B1581">
            <v>45614</v>
          </cell>
          <cell r="C1581">
            <v>45614</v>
          </cell>
          <cell r="D1581" t="str">
            <v>Always_On</v>
          </cell>
          <cell r="E1581" t="str">
            <v>SA</v>
          </cell>
          <cell r="F1581" t="str">
            <v>Search</v>
          </cell>
          <cell r="G1581">
            <v>3430</v>
          </cell>
          <cell r="H1581">
            <v>48721</v>
          </cell>
          <cell r="I1581">
            <v>40902</v>
          </cell>
          <cell r="J1581">
            <v>1092</v>
          </cell>
        </row>
        <row r="1582">
          <cell r="A1582" t="str">
            <v>Always_OnEGYouTube</v>
          </cell>
          <cell r="B1582">
            <v>45614</v>
          </cell>
          <cell r="C1582">
            <v>45614</v>
          </cell>
          <cell r="D1582" t="str">
            <v>Always_On</v>
          </cell>
          <cell r="E1582" t="str">
            <v>EG</v>
          </cell>
          <cell r="F1582" t="str">
            <v>YouTube</v>
          </cell>
          <cell r="G1582">
            <v>2054</v>
          </cell>
          <cell r="H1582">
            <v>124084</v>
          </cell>
          <cell r="I1582">
            <v>55048</v>
          </cell>
          <cell r="J1582">
            <v>236</v>
          </cell>
        </row>
        <row r="1583">
          <cell r="A1583" t="str">
            <v>Always_OnEGSocial</v>
          </cell>
          <cell r="B1583">
            <v>45614</v>
          </cell>
          <cell r="C1583">
            <v>45614</v>
          </cell>
          <cell r="D1583" t="str">
            <v>Always_On</v>
          </cell>
          <cell r="E1583" t="str">
            <v>EG</v>
          </cell>
          <cell r="F1583" t="str">
            <v>Social</v>
          </cell>
          <cell r="G1583">
            <v>4567</v>
          </cell>
          <cell r="H1583">
            <v>394131</v>
          </cell>
          <cell r="I1583">
            <v>182638</v>
          </cell>
          <cell r="J1583">
            <v>572</v>
          </cell>
        </row>
        <row r="1584">
          <cell r="A1584" t="str">
            <v>Always_OnEGDisplay</v>
          </cell>
          <cell r="B1584">
            <v>45614</v>
          </cell>
          <cell r="C1584">
            <v>45614</v>
          </cell>
          <cell r="D1584" t="str">
            <v>Always_On</v>
          </cell>
          <cell r="E1584" t="str">
            <v>EG</v>
          </cell>
          <cell r="F1584" t="str">
            <v>Display</v>
          </cell>
          <cell r="G1584">
            <v>2589</v>
          </cell>
          <cell r="H1584">
            <v>745666</v>
          </cell>
          <cell r="I1584">
            <v>132069</v>
          </cell>
          <cell r="J1584">
            <v>88</v>
          </cell>
        </row>
        <row r="1585">
          <cell r="A1585" t="str">
            <v>Always_OnEGSearch</v>
          </cell>
          <cell r="B1585">
            <v>45614</v>
          </cell>
          <cell r="C1585">
            <v>45614</v>
          </cell>
          <cell r="D1585" t="str">
            <v>Always_On</v>
          </cell>
          <cell r="E1585" t="str">
            <v>EG</v>
          </cell>
          <cell r="F1585" t="str">
            <v>Search</v>
          </cell>
          <cell r="G1585">
            <v>4609</v>
          </cell>
          <cell r="H1585">
            <v>53426</v>
          </cell>
          <cell r="I1585">
            <v>46570</v>
          </cell>
          <cell r="J1585">
            <v>1580</v>
          </cell>
        </row>
        <row r="1586">
          <cell r="A1586" t="str">
            <v>Always_OnUKYouTube</v>
          </cell>
          <cell r="B1586">
            <v>45621</v>
          </cell>
          <cell r="C1586">
            <v>45621</v>
          </cell>
          <cell r="D1586" t="str">
            <v>Always_On</v>
          </cell>
          <cell r="E1586" t="str">
            <v>UK</v>
          </cell>
          <cell r="F1586" t="str">
            <v>YouTube</v>
          </cell>
          <cell r="G1586">
            <v>7558</v>
          </cell>
          <cell r="H1586">
            <v>533270</v>
          </cell>
          <cell r="I1586">
            <v>203738</v>
          </cell>
          <cell r="J1586">
            <v>256</v>
          </cell>
        </row>
        <row r="1587">
          <cell r="A1587" t="str">
            <v>Always_OnUKSocial</v>
          </cell>
          <cell r="B1587">
            <v>45621</v>
          </cell>
          <cell r="C1587">
            <v>45621</v>
          </cell>
          <cell r="D1587" t="str">
            <v>Always_On</v>
          </cell>
          <cell r="E1587" t="str">
            <v>UK</v>
          </cell>
          <cell r="F1587" t="str">
            <v>Social</v>
          </cell>
          <cell r="G1587">
            <v>3468</v>
          </cell>
          <cell r="H1587">
            <v>184026</v>
          </cell>
          <cell r="I1587">
            <v>72271</v>
          </cell>
          <cell r="J1587">
            <v>119</v>
          </cell>
        </row>
        <row r="1588">
          <cell r="A1588" t="str">
            <v>Always_OnUKDisplay</v>
          </cell>
          <cell r="B1588">
            <v>45621</v>
          </cell>
          <cell r="C1588">
            <v>45621</v>
          </cell>
          <cell r="D1588" t="str">
            <v>Always_On</v>
          </cell>
          <cell r="E1588" t="str">
            <v>UK</v>
          </cell>
          <cell r="F1588" t="str">
            <v>Display</v>
          </cell>
          <cell r="G1588">
            <v>2367</v>
          </cell>
          <cell r="H1588">
            <v>544479</v>
          </cell>
          <cell r="I1588">
            <v>113624</v>
          </cell>
          <cell r="J1588">
            <v>18</v>
          </cell>
        </row>
        <row r="1589">
          <cell r="A1589" t="str">
            <v>Always_OnUKSearch</v>
          </cell>
          <cell r="B1589">
            <v>45621</v>
          </cell>
          <cell r="C1589">
            <v>45621</v>
          </cell>
          <cell r="D1589" t="str">
            <v>Always_On</v>
          </cell>
          <cell r="E1589" t="str">
            <v>UK</v>
          </cell>
          <cell r="F1589" t="str">
            <v>Search</v>
          </cell>
          <cell r="G1589">
            <v>5480</v>
          </cell>
          <cell r="H1589">
            <v>75172</v>
          </cell>
          <cell r="I1589">
            <v>65264</v>
          </cell>
          <cell r="J1589">
            <v>444</v>
          </cell>
        </row>
        <row r="1590">
          <cell r="A1590" t="str">
            <v>Always_OnDEYouTube</v>
          </cell>
          <cell r="B1590">
            <v>45621</v>
          </cell>
          <cell r="C1590">
            <v>45621</v>
          </cell>
          <cell r="D1590" t="str">
            <v>Always_On</v>
          </cell>
          <cell r="E1590" t="str">
            <v>DE</v>
          </cell>
          <cell r="F1590" t="str">
            <v>YouTube</v>
          </cell>
          <cell r="G1590">
            <v>3852</v>
          </cell>
          <cell r="H1590">
            <v>301897</v>
          </cell>
          <cell r="I1590">
            <v>118117</v>
          </cell>
          <cell r="J1590">
            <v>135</v>
          </cell>
        </row>
        <row r="1591">
          <cell r="A1591" t="str">
            <v>Always_OnDESocial</v>
          </cell>
          <cell r="B1591">
            <v>45621</v>
          </cell>
          <cell r="C1591">
            <v>45621</v>
          </cell>
          <cell r="D1591" t="str">
            <v>Always_On</v>
          </cell>
          <cell r="E1591" t="str">
            <v>DE</v>
          </cell>
          <cell r="F1591" t="str">
            <v>Social</v>
          </cell>
          <cell r="G1591">
            <v>4497</v>
          </cell>
          <cell r="H1591">
            <v>365716</v>
          </cell>
          <cell r="I1591">
            <v>174702</v>
          </cell>
          <cell r="J1591">
            <v>144</v>
          </cell>
        </row>
        <row r="1592">
          <cell r="A1592" t="str">
            <v>Always_OnDEDisplay</v>
          </cell>
          <cell r="B1592">
            <v>45621</v>
          </cell>
          <cell r="C1592">
            <v>45621</v>
          </cell>
          <cell r="D1592" t="str">
            <v>Always_On</v>
          </cell>
          <cell r="E1592" t="str">
            <v>DE</v>
          </cell>
          <cell r="F1592" t="str">
            <v>Display</v>
          </cell>
          <cell r="G1592">
            <v>3425</v>
          </cell>
          <cell r="H1592">
            <v>770754</v>
          </cell>
          <cell r="I1592">
            <v>147324</v>
          </cell>
          <cell r="J1592">
            <v>28</v>
          </cell>
        </row>
        <row r="1593">
          <cell r="A1593" t="str">
            <v>Always_OnDESearch</v>
          </cell>
          <cell r="B1593">
            <v>45621</v>
          </cell>
          <cell r="C1593">
            <v>45621</v>
          </cell>
          <cell r="D1593" t="str">
            <v>Always_On</v>
          </cell>
          <cell r="E1593" t="str">
            <v>DE</v>
          </cell>
          <cell r="F1593" t="str">
            <v>Search</v>
          </cell>
          <cell r="G1593">
            <v>6519</v>
          </cell>
          <cell r="H1593">
            <v>82111</v>
          </cell>
          <cell r="I1593">
            <v>70620</v>
          </cell>
          <cell r="J1593">
            <v>579</v>
          </cell>
        </row>
        <row r="1594">
          <cell r="A1594" t="str">
            <v>Always_OnSAYouTube</v>
          </cell>
          <cell r="B1594">
            <v>45621</v>
          </cell>
          <cell r="C1594">
            <v>45621</v>
          </cell>
          <cell r="D1594" t="str">
            <v>Always_On</v>
          </cell>
          <cell r="E1594" t="str">
            <v>SA</v>
          </cell>
          <cell r="F1594" t="str">
            <v>YouTube</v>
          </cell>
          <cell r="G1594">
            <v>2223</v>
          </cell>
          <cell r="H1594">
            <v>175541</v>
          </cell>
          <cell r="I1594">
            <v>59696</v>
          </cell>
          <cell r="J1594">
            <v>299</v>
          </cell>
        </row>
        <row r="1595">
          <cell r="A1595" t="str">
            <v>Always_OnSASocial</v>
          </cell>
          <cell r="B1595">
            <v>45621</v>
          </cell>
          <cell r="C1595">
            <v>45621</v>
          </cell>
          <cell r="D1595" t="str">
            <v>Always_On</v>
          </cell>
          <cell r="E1595" t="str">
            <v>SA</v>
          </cell>
          <cell r="F1595" t="str">
            <v>Social</v>
          </cell>
          <cell r="G1595">
            <v>3689</v>
          </cell>
          <cell r="H1595">
            <v>292974</v>
          </cell>
          <cell r="I1595">
            <v>97956</v>
          </cell>
          <cell r="J1595">
            <v>469</v>
          </cell>
        </row>
        <row r="1596">
          <cell r="A1596" t="str">
            <v>Always_OnSADisplay</v>
          </cell>
          <cell r="B1596">
            <v>45621</v>
          </cell>
          <cell r="C1596">
            <v>45621</v>
          </cell>
          <cell r="D1596" t="str">
            <v>Always_On</v>
          </cell>
          <cell r="E1596" t="str">
            <v>SA</v>
          </cell>
          <cell r="F1596" t="str">
            <v>Display</v>
          </cell>
          <cell r="G1596">
            <v>2877</v>
          </cell>
          <cell r="H1596">
            <v>740679</v>
          </cell>
          <cell r="I1596">
            <v>149344</v>
          </cell>
          <cell r="J1596">
            <v>90</v>
          </cell>
        </row>
        <row r="1597">
          <cell r="A1597" t="str">
            <v>Always_OnSASearch</v>
          </cell>
          <cell r="B1597">
            <v>45621</v>
          </cell>
          <cell r="C1597">
            <v>45621</v>
          </cell>
          <cell r="D1597" t="str">
            <v>Always_On</v>
          </cell>
          <cell r="E1597" t="str">
            <v>SA</v>
          </cell>
          <cell r="F1597" t="str">
            <v>Search</v>
          </cell>
          <cell r="G1597">
            <v>2654</v>
          </cell>
          <cell r="H1597">
            <v>29633</v>
          </cell>
          <cell r="I1597">
            <v>25242</v>
          </cell>
          <cell r="J1597">
            <v>761</v>
          </cell>
        </row>
        <row r="1598">
          <cell r="A1598" t="str">
            <v>Always_OnEGYouTube</v>
          </cell>
          <cell r="B1598">
            <v>45621</v>
          </cell>
          <cell r="C1598">
            <v>45621</v>
          </cell>
          <cell r="D1598" t="str">
            <v>Always_On</v>
          </cell>
          <cell r="E1598" t="str">
            <v>EG</v>
          </cell>
          <cell r="F1598" t="str">
            <v>YouTube</v>
          </cell>
          <cell r="G1598">
            <v>2275</v>
          </cell>
          <cell r="H1598">
            <v>197559</v>
          </cell>
          <cell r="I1598">
            <v>75573</v>
          </cell>
          <cell r="J1598">
            <v>277</v>
          </cell>
        </row>
        <row r="1599">
          <cell r="A1599" t="str">
            <v>Always_OnEGSocial</v>
          </cell>
          <cell r="B1599">
            <v>45621</v>
          </cell>
          <cell r="C1599">
            <v>45621</v>
          </cell>
          <cell r="D1599" t="str">
            <v>Always_On</v>
          </cell>
          <cell r="E1599" t="str">
            <v>EG</v>
          </cell>
          <cell r="F1599" t="str">
            <v>Social</v>
          </cell>
          <cell r="G1599">
            <v>4118</v>
          </cell>
          <cell r="H1599">
            <v>369542</v>
          </cell>
          <cell r="I1599">
            <v>133082</v>
          </cell>
          <cell r="J1599">
            <v>501</v>
          </cell>
        </row>
        <row r="1600">
          <cell r="A1600" t="str">
            <v>Always_OnEGDisplay</v>
          </cell>
          <cell r="B1600">
            <v>45621</v>
          </cell>
          <cell r="C1600">
            <v>45621</v>
          </cell>
          <cell r="D1600" t="str">
            <v>Always_On</v>
          </cell>
          <cell r="E1600" t="str">
            <v>EG</v>
          </cell>
          <cell r="F1600" t="str">
            <v>Display</v>
          </cell>
          <cell r="G1600">
            <v>2449</v>
          </cell>
          <cell r="H1600">
            <v>625205</v>
          </cell>
          <cell r="I1600">
            <v>104695</v>
          </cell>
          <cell r="J1600">
            <v>76</v>
          </cell>
        </row>
        <row r="1601">
          <cell r="A1601" t="str">
            <v>Always_OnEGSearch</v>
          </cell>
          <cell r="B1601">
            <v>45621</v>
          </cell>
          <cell r="C1601">
            <v>45621</v>
          </cell>
          <cell r="D1601" t="str">
            <v>Always_On</v>
          </cell>
          <cell r="E1601" t="str">
            <v>EG</v>
          </cell>
          <cell r="F1601" t="str">
            <v>Search</v>
          </cell>
          <cell r="G1601">
            <v>1910</v>
          </cell>
          <cell r="H1601">
            <v>23346</v>
          </cell>
          <cell r="I1601">
            <v>20082</v>
          </cell>
          <cell r="J1601">
            <v>600</v>
          </cell>
        </row>
        <row r="1602">
          <cell r="A1602" t="str">
            <v>Always_OnUKYouTube</v>
          </cell>
          <cell r="B1602">
            <v>45628</v>
          </cell>
          <cell r="C1602">
            <v>45628</v>
          </cell>
          <cell r="D1602" t="str">
            <v>Always_On</v>
          </cell>
          <cell r="E1602" t="str">
            <v>UK</v>
          </cell>
          <cell r="F1602" t="str">
            <v>YouTube</v>
          </cell>
          <cell r="G1602">
            <v>5352</v>
          </cell>
          <cell r="H1602">
            <v>295466</v>
          </cell>
          <cell r="I1602">
            <v>129305</v>
          </cell>
          <cell r="J1602">
            <v>174</v>
          </cell>
        </row>
        <row r="1603">
          <cell r="A1603" t="str">
            <v>Always_OnUKSocial</v>
          </cell>
          <cell r="B1603">
            <v>45628</v>
          </cell>
          <cell r="C1603">
            <v>45628</v>
          </cell>
          <cell r="D1603" t="str">
            <v>Always_On</v>
          </cell>
          <cell r="E1603" t="str">
            <v>UK</v>
          </cell>
          <cell r="F1603" t="str">
            <v>Social</v>
          </cell>
          <cell r="G1603">
            <v>5493</v>
          </cell>
          <cell r="H1603">
            <v>332961</v>
          </cell>
          <cell r="I1603">
            <v>148494</v>
          </cell>
          <cell r="J1603">
            <v>201</v>
          </cell>
        </row>
        <row r="1604">
          <cell r="A1604" t="str">
            <v>Always_OnUKDisplay</v>
          </cell>
          <cell r="B1604">
            <v>45628</v>
          </cell>
          <cell r="C1604">
            <v>45628</v>
          </cell>
          <cell r="D1604" t="str">
            <v>Always_On</v>
          </cell>
          <cell r="E1604" t="str">
            <v>UK</v>
          </cell>
          <cell r="F1604" t="str">
            <v>Display</v>
          </cell>
          <cell r="G1604">
            <v>4012</v>
          </cell>
          <cell r="H1604">
            <v>1014737</v>
          </cell>
          <cell r="I1604">
            <v>180292</v>
          </cell>
          <cell r="J1604">
            <v>35</v>
          </cell>
        </row>
        <row r="1605">
          <cell r="A1605" t="str">
            <v>Always_OnUKSearch</v>
          </cell>
          <cell r="B1605">
            <v>45628</v>
          </cell>
          <cell r="C1605">
            <v>45628</v>
          </cell>
          <cell r="D1605" t="str">
            <v>Always_On</v>
          </cell>
          <cell r="E1605" t="str">
            <v>UK</v>
          </cell>
          <cell r="F1605" t="str">
            <v>Search</v>
          </cell>
          <cell r="G1605">
            <v>6614</v>
          </cell>
          <cell r="H1605">
            <v>83944</v>
          </cell>
          <cell r="I1605">
            <v>72690</v>
          </cell>
          <cell r="J1605">
            <v>608</v>
          </cell>
        </row>
        <row r="1606">
          <cell r="A1606" t="str">
            <v>Always_OnDEYouTube</v>
          </cell>
          <cell r="B1606">
            <v>45628</v>
          </cell>
          <cell r="C1606">
            <v>45628</v>
          </cell>
          <cell r="D1606" t="str">
            <v>Always_On</v>
          </cell>
          <cell r="E1606" t="str">
            <v>DE</v>
          </cell>
          <cell r="F1606" t="str">
            <v>YouTube</v>
          </cell>
          <cell r="G1606">
            <v>6591</v>
          </cell>
          <cell r="H1606">
            <v>353823</v>
          </cell>
          <cell r="I1606">
            <v>140487</v>
          </cell>
          <cell r="J1606">
            <v>231</v>
          </cell>
        </row>
        <row r="1607">
          <cell r="A1607" t="str">
            <v>Always_OnDESocial</v>
          </cell>
          <cell r="B1607">
            <v>45628</v>
          </cell>
          <cell r="C1607">
            <v>45628</v>
          </cell>
          <cell r="D1607" t="str">
            <v>Always_On</v>
          </cell>
          <cell r="E1607" t="str">
            <v>DE</v>
          </cell>
          <cell r="F1607" t="str">
            <v>Social</v>
          </cell>
          <cell r="G1607">
            <v>5660</v>
          </cell>
          <cell r="H1607">
            <v>401315</v>
          </cell>
          <cell r="I1607">
            <v>143438</v>
          </cell>
          <cell r="J1607">
            <v>178</v>
          </cell>
        </row>
        <row r="1608">
          <cell r="A1608" t="str">
            <v>Always_OnDEDisplay</v>
          </cell>
          <cell r="B1608">
            <v>45628</v>
          </cell>
          <cell r="C1608">
            <v>45628</v>
          </cell>
          <cell r="D1608" t="str">
            <v>Always_On</v>
          </cell>
          <cell r="E1608" t="str">
            <v>DE</v>
          </cell>
          <cell r="F1608" t="str">
            <v>Display</v>
          </cell>
          <cell r="G1608">
            <v>3413</v>
          </cell>
          <cell r="H1608">
            <v>708444</v>
          </cell>
          <cell r="I1608">
            <v>150477</v>
          </cell>
          <cell r="J1608">
            <v>27</v>
          </cell>
        </row>
        <row r="1609">
          <cell r="A1609" t="str">
            <v>Always_OnDESearch</v>
          </cell>
          <cell r="B1609">
            <v>45628</v>
          </cell>
          <cell r="C1609">
            <v>45628</v>
          </cell>
          <cell r="D1609" t="str">
            <v>Always_On</v>
          </cell>
          <cell r="E1609" t="str">
            <v>DE</v>
          </cell>
          <cell r="F1609" t="str">
            <v>Search</v>
          </cell>
          <cell r="G1609">
            <v>3576</v>
          </cell>
          <cell r="H1609">
            <v>37840</v>
          </cell>
          <cell r="I1609">
            <v>34218</v>
          </cell>
          <cell r="J1609">
            <v>289</v>
          </cell>
        </row>
        <row r="1610">
          <cell r="A1610" t="str">
            <v>Always_OnSAYouTube</v>
          </cell>
          <cell r="B1610">
            <v>45628</v>
          </cell>
          <cell r="C1610">
            <v>45628</v>
          </cell>
          <cell r="D1610" t="str">
            <v>Always_On</v>
          </cell>
          <cell r="E1610" t="str">
            <v>SA</v>
          </cell>
          <cell r="F1610" t="str">
            <v>YouTube</v>
          </cell>
          <cell r="G1610">
            <v>3755</v>
          </cell>
          <cell r="H1610">
            <v>230019</v>
          </cell>
          <cell r="I1610">
            <v>96150</v>
          </cell>
          <cell r="J1610">
            <v>450</v>
          </cell>
        </row>
        <row r="1611">
          <cell r="A1611" t="str">
            <v>Always_OnSASocial</v>
          </cell>
          <cell r="B1611">
            <v>45628</v>
          </cell>
          <cell r="C1611">
            <v>45628</v>
          </cell>
          <cell r="D1611" t="str">
            <v>Always_On</v>
          </cell>
          <cell r="E1611" t="str">
            <v>SA</v>
          </cell>
          <cell r="F1611" t="str">
            <v>Social</v>
          </cell>
          <cell r="G1611">
            <v>2925</v>
          </cell>
          <cell r="H1611">
            <v>245594</v>
          </cell>
          <cell r="I1611">
            <v>83457</v>
          </cell>
          <cell r="J1611">
            <v>400</v>
          </cell>
        </row>
        <row r="1612">
          <cell r="A1612" t="str">
            <v>Always_OnSADisplay</v>
          </cell>
          <cell r="B1612">
            <v>45628</v>
          </cell>
          <cell r="C1612">
            <v>45628</v>
          </cell>
          <cell r="D1612" t="str">
            <v>Always_On</v>
          </cell>
          <cell r="E1612" t="str">
            <v>SA</v>
          </cell>
          <cell r="F1612" t="str">
            <v>Display</v>
          </cell>
          <cell r="G1612">
            <v>1940</v>
          </cell>
          <cell r="H1612">
            <v>544480</v>
          </cell>
          <cell r="I1612">
            <v>117518</v>
          </cell>
          <cell r="J1612">
            <v>62</v>
          </cell>
        </row>
        <row r="1613">
          <cell r="A1613" t="str">
            <v>Always_OnSASearch</v>
          </cell>
          <cell r="B1613">
            <v>45628</v>
          </cell>
          <cell r="C1613">
            <v>45628</v>
          </cell>
          <cell r="D1613" t="str">
            <v>Always_On</v>
          </cell>
          <cell r="E1613" t="str">
            <v>SA</v>
          </cell>
          <cell r="F1613" t="str">
            <v>Search</v>
          </cell>
          <cell r="G1613">
            <v>2718</v>
          </cell>
          <cell r="H1613">
            <v>32495</v>
          </cell>
          <cell r="I1613">
            <v>28169</v>
          </cell>
          <cell r="J1613">
            <v>837</v>
          </cell>
        </row>
        <row r="1614">
          <cell r="A1614" t="str">
            <v>Always_OnEGYouTube</v>
          </cell>
          <cell r="B1614">
            <v>45628</v>
          </cell>
          <cell r="C1614">
            <v>45628</v>
          </cell>
          <cell r="D1614" t="str">
            <v>Always_On</v>
          </cell>
          <cell r="E1614" t="str">
            <v>EG</v>
          </cell>
          <cell r="F1614" t="str">
            <v>YouTube</v>
          </cell>
          <cell r="G1614">
            <v>4596</v>
          </cell>
          <cell r="H1614">
            <v>322846</v>
          </cell>
          <cell r="I1614">
            <v>135446</v>
          </cell>
          <cell r="J1614">
            <v>592</v>
          </cell>
        </row>
        <row r="1615">
          <cell r="A1615" t="str">
            <v>Always_OnEGSocial</v>
          </cell>
          <cell r="B1615">
            <v>45628</v>
          </cell>
          <cell r="C1615">
            <v>45628</v>
          </cell>
          <cell r="D1615" t="str">
            <v>Always_On</v>
          </cell>
          <cell r="E1615" t="str">
            <v>EG</v>
          </cell>
          <cell r="F1615" t="str">
            <v>Social</v>
          </cell>
          <cell r="G1615">
            <v>3570</v>
          </cell>
          <cell r="H1615">
            <v>250028</v>
          </cell>
          <cell r="I1615">
            <v>111665</v>
          </cell>
          <cell r="J1615">
            <v>448</v>
          </cell>
        </row>
        <row r="1616">
          <cell r="A1616" t="str">
            <v>Always_OnEGDisplay</v>
          </cell>
          <cell r="B1616">
            <v>45628</v>
          </cell>
          <cell r="C1616">
            <v>45628</v>
          </cell>
          <cell r="D1616" t="str">
            <v>Always_On</v>
          </cell>
          <cell r="E1616" t="str">
            <v>EG</v>
          </cell>
          <cell r="F1616" t="str">
            <v>Display</v>
          </cell>
          <cell r="G1616">
            <v>1587</v>
          </cell>
          <cell r="H1616">
            <v>391677</v>
          </cell>
          <cell r="I1616">
            <v>84192</v>
          </cell>
          <cell r="J1616">
            <v>48</v>
          </cell>
        </row>
        <row r="1617">
          <cell r="A1617" t="str">
            <v>Always_OnEGSearch</v>
          </cell>
          <cell r="B1617">
            <v>45628</v>
          </cell>
          <cell r="C1617">
            <v>45628</v>
          </cell>
          <cell r="D1617" t="str">
            <v>Always_On</v>
          </cell>
          <cell r="E1617" t="str">
            <v>EG</v>
          </cell>
          <cell r="F1617" t="str">
            <v>Search</v>
          </cell>
          <cell r="G1617">
            <v>4887</v>
          </cell>
          <cell r="H1617">
            <v>61078</v>
          </cell>
          <cell r="I1617">
            <v>55193</v>
          </cell>
          <cell r="J1617">
            <v>1542</v>
          </cell>
        </row>
        <row r="1618">
          <cell r="A1618" t="str">
            <v>Always_OnUKYouTube</v>
          </cell>
          <cell r="B1618">
            <v>45635</v>
          </cell>
          <cell r="C1618">
            <v>45635</v>
          </cell>
          <cell r="D1618" t="str">
            <v>Always_On</v>
          </cell>
          <cell r="E1618" t="str">
            <v>UK</v>
          </cell>
          <cell r="F1618" t="str">
            <v>YouTube</v>
          </cell>
          <cell r="G1618">
            <v>5780</v>
          </cell>
          <cell r="H1618">
            <v>456871</v>
          </cell>
          <cell r="I1618">
            <v>182716</v>
          </cell>
          <cell r="J1618">
            <v>208</v>
          </cell>
        </row>
        <row r="1619">
          <cell r="A1619" t="str">
            <v>Always_OnUKSocial</v>
          </cell>
          <cell r="B1619">
            <v>45635</v>
          </cell>
          <cell r="C1619">
            <v>45635</v>
          </cell>
          <cell r="D1619" t="str">
            <v>Always_On</v>
          </cell>
          <cell r="E1619" t="str">
            <v>UK</v>
          </cell>
          <cell r="F1619" t="str">
            <v>Social</v>
          </cell>
          <cell r="G1619">
            <v>5559</v>
          </cell>
          <cell r="H1619">
            <v>299142</v>
          </cell>
          <cell r="I1619">
            <v>123716</v>
          </cell>
          <cell r="J1619">
            <v>200</v>
          </cell>
        </row>
        <row r="1620">
          <cell r="A1620" t="str">
            <v>Always_OnUKDisplay</v>
          </cell>
          <cell r="B1620">
            <v>45635</v>
          </cell>
          <cell r="C1620">
            <v>45635</v>
          </cell>
          <cell r="D1620" t="str">
            <v>Always_On</v>
          </cell>
          <cell r="E1620" t="str">
            <v>UK</v>
          </cell>
          <cell r="F1620" t="str">
            <v>Display</v>
          </cell>
          <cell r="G1620">
            <v>4034</v>
          </cell>
          <cell r="H1620">
            <v>815934</v>
          </cell>
          <cell r="I1620">
            <v>143942</v>
          </cell>
          <cell r="J1620">
            <v>31</v>
          </cell>
        </row>
        <row r="1621">
          <cell r="A1621" t="str">
            <v>Always_OnUKSearch</v>
          </cell>
          <cell r="B1621">
            <v>45635</v>
          </cell>
          <cell r="C1621">
            <v>45635</v>
          </cell>
          <cell r="D1621" t="str">
            <v>Always_On</v>
          </cell>
          <cell r="E1621" t="str">
            <v>UK</v>
          </cell>
          <cell r="F1621" t="str">
            <v>Search</v>
          </cell>
          <cell r="G1621">
            <v>5427</v>
          </cell>
          <cell r="H1621">
            <v>74081</v>
          </cell>
          <cell r="I1621">
            <v>62289</v>
          </cell>
          <cell r="J1621">
            <v>418</v>
          </cell>
        </row>
        <row r="1622">
          <cell r="A1622" t="str">
            <v>Always_OnDEYouTube</v>
          </cell>
          <cell r="B1622">
            <v>45635</v>
          </cell>
          <cell r="C1622">
            <v>45635</v>
          </cell>
          <cell r="D1622" t="str">
            <v>Always_On</v>
          </cell>
          <cell r="E1622" t="str">
            <v>DE</v>
          </cell>
          <cell r="F1622" t="str">
            <v>YouTube</v>
          </cell>
          <cell r="G1622">
            <v>4032</v>
          </cell>
          <cell r="H1622">
            <v>243186</v>
          </cell>
          <cell r="I1622">
            <v>93936</v>
          </cell>
          <cell r="J1622">
            <v>148</v>
          </cell>
        </row>
        <row r="1623">
          <cell r="A1623" t="str">
            <v>Always_OnDESocial</v>
          </cell>
          <cell r="B1623">
            <v>45635</v>
          </cell>
          <cell r="C1623">
            <v>45635</v>
          </cell>
          <cell r="D1623" t="str">
            <v>Always_On</v>
          </cell>
          <cell r="E1623" t="str">
            <v>DE</v>
          </cell>
          <cell r="F1623" t="str">
            <v>Social</v>
          </cell>
          <cell r="G1623">
            <v>6543</v>
          </cell>
          <cell r="H1623">
            <v>554113</v>
          </cell>
          <cell r="I1623">
            <v>236975</v>
          </cell>
          <cell r="J1623">
            <v>215</v>
          </cell>
        </row>
        <row r="1624">
          <cell r="A1624" t="str">
            <v>Always_OnDEDisplay</v>
          </cell>
          <cell r="B1624">
            <v>45635</v>
          </cell>
          <cell r="C1624">
            <v>45635</v>
          </cell>
          <cell r="D1624" t="str">
            <v>Always_On</v>
          </cell>
          <cell r="E1624" t="str">
            <v>DE</v>
          </cell>
          <cell r="F1624" t="str">
            <v>Display</v>
          </cell>
          <cell r="G1624">
            <v>3508</v>
          </cell>
          <cell r="H1624">
            <v>791690</v>
          </cell>
          <cell r="I1624">
            <v>181976</v>
          </cell>
          <cell r="J1624">
            <v>31</v>
          </cell>
        </row>
        <row r="1625">
          <cell r="A1625" t="str">
            <v>Always_OnDESearch</v>
          </cell>
          <cell r="B1625">
            <v>45635</v>
          </cell>
          <cell r="C1625">
            <v>45635</v>
          </cell>
          <cell r="D1625" t="str">
            <v>Always_On</v>
          </cell>
          <cell r="E1625" t="str">
            <v>DE</v>
          </cell>
          <cell r="F1625" t="str">
            <v>Search</v>
          </cell>
          <cell r="G1625">
            <v>3676</v>
          </cell>
          <cell r="H1625">
            <v>50322</v>
          </cell>
          <cell r="I1625">
            <v>42544</v>
          </cell>
          <cell r="J1625">
            <v>279</v>
          </cell>
        </row>
        <row r="1626">
          <cell r="A1626" t="str">
            <v>Always_OnSAYouTube</v>
          </cell>
          <cell r="B1626">
            <v>45635</v>
          </cell>
          <cell r="C1626">
            <v>45635</v>
          </cell>
          <cell r="D1626" t="str">
            <v>Always_On</v>
          </cell>
          <cell r="E1626" t="str">
            <v>SA</v>
          </cell>
          <cell r="F1626" t="str">
            <v>YouTube</v>
          </cell>
          <cell r="G1626">
            <v>2274</v>
          </cell>
          <cell r="H1626">
            <v>200965</v>
          </cell>
          <cell r="I1626">
            <v>72579</v>
          </cell>
          <cell r="J1626">
            <v>272</v>
          </cell>
        </row>
        <row r="1627">
          <cell r="A1627" t="str">
            <v>Always_OnSASocial</v>
          </cell>
          <cell r="B1627">
            <v>45635</v>
          </cell>
          <cell r="C1627">
            <v>45635</v>
          </cell>
          <cell r="D1627" t="str">
            <v>Always_On</v>
          </cell>
          <cell r="E1627" t="str">
            <v>SA</v>
          </cell>
          <cell r="F1627" t="str">
            <v>Social</v>
          </cell>
          <cell r="G1627">
            <v>2942</v>
          </cell>
          <cell r="H1627">
            <v>196806</v>
          </cell>
          <cell r="I1627">
            <v>66135</v>
          </cell>
          <cell r="J1627">
            <v>405</v>
          </cell>
        </row>
        <row r="1628">
          <cell r="A1628" t="str">
            <v>Always_OnSADisplay</v>
          </cell>
          <cell r="B1628">
            <v>45635</v>
          </cell>
          <cell r="C1628">
            <v>45635</v>
          </cell>
          <cell r="D1628" t="str">
            <v>Always_On</v>
          </cell>
          <cell r="E1628" t="str">
            <v>SA</v>
          </cell>
          <cell r="F1628" t="str">
            <v>Display</v>
          </cell>
          <cell r="G1628">
            <v>1839</v>
          </cell>
          <cell r="H1628">
            <v>416093</v>
          </cell>
          <cell r="I1628">
            <v>81648</v>
          </cell>
          <cell r="J1628">
            <v>61</v>
          </cell>
        </row>
        <row r="1629">
          <cell r="A1629" t="str">
            <v>Always_OnSASearch</v>
          </cell>
          <cell r="B1629">
            <v>45635</v>
          </cell>
          <cell r="C1629">
            <v>45635</v>
          </cell>
          <cell r="D1629" t="str">
            <v>Always_On</v>
          </cell>
          <cell r="E1629" t="str">
            <v>SA</v>
          </cell>
          <cell r="F1629" t="str">
            <v>Search</v>
          </cell>
          <cell r="G1629">
            <v>2608</v>
          </cell>
          <cell r="H1629">
            <v>33722</v>
          </cell>
          <cell r="I1629">
            <v>29138</v>
          </cell>
          <cell r="J1629">
            <v>850</v>
          </cell>
        </row>
        <row r="1630">
          <cell r="A1630" t="str">
            <v>Always_OnEGYouTube</v>
          </cell>
          <cell r="B1630">
            <v>45635</v>
          </cell>
          <cell r="C1630">
            <v>45635</v>
          </cell>
          <cell r="D1630" t="str">
            <v>Always_On</v>
          </cell>
          <cell r="E1630" t="str">
            <v>EG</v>
          </cell>
          <cell r="F1630" t="str">
            <v>YouTube</v>
          </cell>
          <cell r="G1630">
            <v>3478</v>
          </cell>
          <cell r="H1630">
            <v>260055</v>
          </cell>
          <cell r="I1630">
            <v>102449</v>
          </cell>
          <cell r="J1630">
            <v>438</v>
          </cell>
        </row>
        <row r="1631">
          <cell r="A1631" t="str">
            <v>Always_OnEGSocial</v>
          </cell>
          <cell r="B1631">
            <v>45635</v>
          </cell>
          <cell r="C1631">
            <v>45635</v>
          </cell>
          <cell r="D1631" t="str">
            <v>Always_On</v>
          </cell>
          <cell r="E1631" t="str">
            <v>EG</v>
          </cell>
          <cell r="F1631" t="str">
            <v>Social</v>
          </cell>
          <cell r="G1631">
            <v>3843</v>
          </cell>
          <cell r="H1631">
            <v>232253</v>
          </cell>
          <cell r="I1631">
            <v>103761</v>
          </cell>
          <cell r="J1631">
            <v>487</v>
          </cell>
        </row>
        <row r="1632">
          <cell r="A1632" t="str">
            <v>Always_OnEGDisplay</v>
          </cell>
          <cell r="B1632">
            <v>45635</v>
          </cell>
          <cell r="C1632">
            <v>45635</v>
          </cell>
          <cell r="D1632" t="str">
            <v>Always_On</v>
          </cell>
          <cell r="E1632" t="str">
            <v>EG</v>
          </cell>
          <cell r="F1632" t="str">
            <v>Display</v>
          </cell>
          <cell r="G1632">
            <v>2124</v>
          </cell>
          <cell r="H1632">
            <v>476881</v>
          </cell>
          <cell r="I1632">
            <v>85715</v>
          </cell>
          <cell r="J1632">
            <v>60</v>
          </cell>
        </row>
        <row r="1633">
          <cell r="A1633" t="str">
            <v>Always_OnEGSearch</v>
          </cell>
          <cell r="B1633">
            <v>45635</v>
          </cell>
          <cell r="C1633">
            <v>45635</v>
          </cell>
          <cell r="D1633" t="str">
            <v>Always_On</v>
          </cell>
          <cell r="E1633" t="str">
            <v>EG</v>
          </cell>
          <cell r="F1633" t="str">
            <v>Search</v>
          </cell>
          <cell r="G1633">
            <v>2830</v>
          </cell>
          <cell r="H1633">
            <v>42082</v>
          </cell>
          <cell r="I1633">
            <v>37557</v>
          </cell>
          <cell r="J1633">
            <v>918</v>
          </cell>
        </row>
        <row r="1634">
          <cell r="A1634" t="str">
            <v>Always_OnUKYouTube</v>
          </cell>
          <cell r="B1634">
            <v>45642</v>
          </cell>
          <cell r="C1634">
            <v>45642</v>
          </cell>
          <cell r="D1634" t="str">
            <v>Always_On</v>
          </cell>
          <cell r="E1634" t="str">
            <v>UK</v>
          </cell>
          <cell r="F1634" t="str">
            <v>YouTube</v>
          </cell>
          <cell r="G1634">
            <v>3579</v>
          </cell>
          <cell r="H1634">
            <v>198229</v>
          </cell>
          <cell r="I1634">
            <v>93407</v>
          </cell>
          <cell r="J1634">
            <v>118</v>
          </cell>
        </row>
        <row r="1635">
          <cell r="A1635" t="str">
            <v>Always_OnUKSocial</v>
          </cell>
          <cell r="B1635">
            <v>45642</v>
          </cell>
          <cell r="C1635">
            <v>45642</v>
          </cell>
          <cell r="D1635" t="str">
            <v>Always_On</v>
          </cell>
          <cell r="E1635" t="str">
            <v>UK</v>
          </cell>
          <cell r="F1635" t="str">
            <v>Social</v>
          </cell>
          <cell r="G1635">
            <v>7592</v>
          </cell>
          <cell r="H1635">
            <v>629444</v>
          </cell>
          <cell r="I1635">
            <v>301958</v>
          </cell>
          <cell r="J1635">
            <v>277</v>
          </cell>
        </row>
        <row r="1636">
          <cell r="A1636" t="str">
            <v>Always_OnUKDisplay</v>
          </cell>
          <cell r="B1636">
            <v>45642</v>
          </cell>
          <cell r="C1636">
            <v>45642</v>
          </cell>
          <cell r="D1636" t="str">
            <v>Always_On</v>
          </cell>
          <cell r="E1636" t="str">
            <v>UK</v>
          </cell>
          <cell r="F1636" t="str">
            <v>Display</v>
          </cell>
          <cell r="G1636">
            <v>2095</v>
          </cell>
          <cell r="H1636">
            <v>522216</v>
          </cell>
          <cell r="I1636">
            <v>113401</v>
          </cell>
          <cell r="J1636">
            <v>19</v>
          </cell>
        </row>
        <row r="1637">
          <cell r="A1637" t="str">
            <v>Always_OnUKSearch</v>
          </cell>
          <cell r="B1637">
            <v>45642</v>
          </cell>
          <cell r="C1637">
            <v>45642</v>
          </cell>
          <cell r="D1637" t="str">
            <v>Always_On</v>
          </cell>
          <cell r="E1637" t="str">
            <v>UK</v>
          </cell>
          <cell r="F1637" t="str">
            <v>Search</v>
          </cell>
          <cell r="G1637">
            <v>6037</v>
          </cell>
          <cell r="H1637">
            <v>61408</v>
          </cell>
          <cell r="I1637">
            <v>52765</v>
          </cell>
          <cell r="J1637">
            <v>491</v>
          </cell>
        </row>
        <row r="1638">
          <cell r="A1638" t="str">
            <v>Always_OnDEYouTube</v>
          </cell>
          <cell r="B1638">
            <v>45642</v>
          </cell>
          <cell r="C1638">
            <v>45642</v>
          </cell>
          <cell r="D1638" t="str">
            <v>Always_On</v>
          </cell>
          <cell r="E1638" t="str">
            <v>DE</v>
          </cell>
          <cell r="F1638" t="str">
            <v>YouTube</v>
          </cell>
          <cell r="G1638">
            <v>5794</v>
          </cell>
          <cell r="H1638">
            <v>373504</v>
          </cell>
          <cell r="I1638">
            <v>125080</v>
          </cell>
          <cell r="J1638">
            <v>178</v>
          </cell>
        </row>
        <row r="1639">
          <cell r="A1639" t="str">
            <v>Always_OnDESocial</v>
          </cell>
          <cell r="B1639">
            <v>45642</v>
          </cell>
          <cell r="C1639">
            <v>45642</v>
          </cell>
          <cell r="D1639" t="str">
            <v>Always_On</v>
          </cell>
          <cell r="E1639" t="str">
            <v>DE</v>
          </cell>
          <cell r="F1639" t="str">
            <v>Social</v>
          </cell>
          <cell r="G1639">
            <v>6804</v>
          </cell>
          <cell r="H1639">
            <v>351577</v>
          </cell>
          <cell r="I1639">
            <v>121220</v>
          </cell>
          <cell r="J1639">
            <v>249</v>
          </cell>
        </row>
        <row r="1640">
          <cell r="A1640" t="str">
            <v>Always_OnDEDisplay</v>
          </cell>
          <cell r="B1640">
            <v>45642</v>
          </cell>
          <cell r="C1640">
            <v>45642</v>
          </cell>
          <cell r="D1640" t="str">
            <v>Always_On</v>
          </cell>
          <cell r="E1640" t="str">
            <v>DE</v>
          </cell>
          <cell r="F1640" t="str">
            <v>Display</v>
          </cell>
          <cell r="G1640">
            <v>2369</v>
          </cell>
          <cell r="H1640">
            <v>510383</v>
          </cell>
          <cell r="I1640">
            <v>105450</v>
          </cell>
          <cell r="J1640">
            <v>20</v>
          </cell>
        </row>
        <row r="1641">
          <cell r="A1641" t="str">
            <v>Always_OnDESearch</v>
          </cell>
          <cell r="B1641">
            <v>45642</v>
          </cell>
          <cell r="C1641">
            <v>45642</v>
          </cell>
          <cell r="D1641" t="str">
            <v>Always_On</v>
          </cell>
          <cell r="E1641" t="str">
            <v>DE</v>
          </cell>
          <cell r="F1641" t="str">
            <v>Search</v>
          </cell>
          <cell r="G1641">
            <v>5227</v>
          </cell>
          <cell r="H1641">
            <v>65504</v>
          </cell>
          <cell r="I1641">
            <v>59086</v>
          </cell>
          <cell r="J1641">
            <v>440</v>
          </cell>
        </row>
        <row r="1642">
          <cell r="A1642" t="str">
            <v>Always_OnSAYouTube</v>
          </cell>
          <cell r="B1642">
            <v>45642</v>
          </cell>
          <cell r="C1642">
            <v>45642</v>
          </cell>
          <cell r="D1642" t="str">
            <v>Always_On</v>
          </cell>
          <cell r="E1642" t="str">
            <v>SA</v>
          </cell>
          <cell r="F1642" t="str">
            <v>YouTube</v>
          </cell>
          <cell r="G1642">
            <v>2668</v>
          </cell>
          <cell r="H1642">
            <v>150457</v>
          </cell>
          <cell r="I1642">
            <v>62017</v>
          </cell>
          <cell r="J1642">
            <v>349</v>
          </cell>
        </row>
        <row r="1643">
          <cell r="A1643" t="str">
            <v>Always_OnSASocial</v>
          </cell>
          <cell r="B1643">
            <v>45642</v>
          </cell>
          <cell r="C1643">
            <v>45642</v>
          </cell>
          <cell r="D1643" t="str">
            <v>Always_On</v>
          </cell>
          <cell r="E1643" t="str">
            <v>SA</v>
          </cell>
          <cell r="F1643" t="str">
            <v>Social</v>
          </cell>
          <cell r="G1643">
            <v>4950</v>
          </cell>
          <cell r="H1643">
            <v>268245</v>
          </cell>
          <cell r="I1643">
            <v>94157</v>
          </cell>
          <cell r="J1643">
            <v>635</v>
          </cell>
        </row>
        <row r="1644">
          <cell r="A1644" t="str">
            <v>Always_OnSADisplay</v>
          </cell>
          <cell r="B1644">
            <v>45642</v>
          </cell>
          <cell r="C1644">
            <v>45642</v>
          </cell>
          <cell r="D1644" t="str">
            <v>Always_On</v>
          </cell>
          <cell r="E1644" t="str">
            <v>SA</v>
          </cell>
          <cell r="F1644" t="str">
            <v>Display</v>
          </cell>
          <cell r="G1644">
            <v>1261</v>
          </cell>
          <cell r="H1644">
            <v>314935</v>
          </cell>
          <cell r="I1644">
            <v>67829</v>
          </cell>
          <cell r="J1644">
            <v>36</v>
          </cell>
        </row>
        <row r="1645">
          <cell r="A1645" t="str">
            <v>Always_OnSASearch</v>
          </cell>
          <cell r="B1645">
            <v>45642</v>
          </cell>
          <cell r="C1645">
            <v>45642</v>
          </cell>
          <cell r="D1645" t="str">
            <v>Always_On</v>
          </cell>
          <cell r="E1645" t="str">
            <v>SA</v>
          </cell>
          <cell r="F1645" t="str">
            <v>Search</v>
          </cell>
          <cell r="G1645">
            <v>2843</v>
          </cell>
          <cell r="H1645">
            <v>28913</v>
          </cell>
          <cell r="I1645">
            <v>25805</v>
          </cell>
          <cell r="J1645">
            <v>905</v>
          </cell>
        </row>
        <row r="1646">
          <cell r="A1646" t="str">
            <v>Always_OnEGYouTube</v>
          </cell>
          <cell r="B1646">
            <v>45642</v>
          </cell>
          <cell r="C1646">
            <v>45642</v>
          </cell>
          <cell r="D1646" t="str">
            <v>Always_On</v>
          </cell>
          <cell r="E1646" t="str">
            <v>EG</v>
          </cell>
          <cell r="F1646" t="str">
            <v>YouTube</v>
          </cell>
          <cell r="G1646">
            <v>2187</v>
          </cell>
          <cell r="H1646">
            <v>168034</v>
          </cell>
          <cell r="I1646">
            <v>83635</v>
          </cell>
          <cell r="J1646">
            <v>293</v>
          </cell>
        </row>
        <row r="1647">
          <cell r="A1647" t="str">
            <v>Always_OnEGSocial</v>
          </cell>
          <cell r="B1647">
            <v>45642</v>
          </cell>
          <cell r="C1647">
            <v>45642</v>
          </cell>
          <cell r="D1647" t="str">
            <v>Always_On</v>
          </cell>
          <cell r="E1647" t="str">
            <v>EG</v>
          </cell>
          <cell r="F1647" t="str">
            <v>Social</v>
          </cell>
          <cell r="G1647">
            <v>4131</v>
          </cell>
          <cell r="H1647">
            <v>218859</v>
          </cell>
          <cell r="I1647">
            <v>81648</v>
          </cell>
          <cell r="J1647">
            <v>532</v>
          </cell>
        </row>
        <row r="1648">
          <cell r="A1648" t="str">
            <v>Always_OnEGDisplay</v>
          </cell>
          <cell r="B1648">
            <v>45642</v>
          </cell>
          <cell r="C1648">
            <v>45642</v>
          </cell>
          <cell r="D1648" t="str">
            <v>Always_On</v>
          </cell>
          <cell r="E1648" t="str">
            <v>EG</v>
          </cell>
          <cell r="F1648" t="str">
            <v>Display</v>
          </cell>
          <cell r="G1648">
            <v>1726</v>
          </cell>
          <cell r="H1648">
            <v>497087</v>
          </cell>
          <cell r="I1648">
            <v>119626</v>
          </cell>
          <cell r="J1648">
            <v>58</v>
          </cell>
        </row>
        <row r="1649">
          <cell r="A1649" t="str">
            <v>Always_OnEGSearch</v>
          </cell>
          <cell r="B1649">
            <v>45642</v>
          </cell>
          <cell r="C1649">
            <v>45642</v>
          </cell>
          <cell r="D1649" t="str">
            <v>Always_On</v>
          </cell>
          <cell r="E1649" t="str">
            <v>EG</v>
          </cell>
          <cell r="F1649" t="str">
            <v>Search</v>
          </cell>
          <cell r="G1649">
            <v>4101</v>
          </cell>
          <cell r="H1649">
            <v>58613</v>
          </cell>
          <cell r="I1649">
            <v>50779</v>
          </cell>
          <cell r="J1649">
            <v>1340</v>
          </cell>
        </row>
        <row r="1650">
          <cell r="A1650" t="str">
            <v>Always_OnUKYouTube</v>
          </cell>
          <cell r="B1650">
            <v>45649</v>
          </cell>
          <cell r="C1650">
            <v>45649</v>
          </cell>
          <cell r="D1650" t="str">
            <v>Always_On</v>
          </cell>
          <cell r="E1650" t="str">
            <v>UK</v>
          </cell>
          <cell r="F1650" t="str">
            <v>YouTube</v>
          </cell>
          <cell r="G1650">
            <v>3777</v>
          </cell>
          <cell r="H1650">
            <v>328403</v>
          </cell>
          <cell r="I1650">
            <v>121480</v>
          </cell>
          <cell r="J1650">
            <v>116</v>
          </cell>
        </row>
        <row r="1651">
          <cell r="A1651" t="str">
            <v>Always_OnUKSocial</v>
          </cell>
          <cell r="B1651">
            <v>45649</v>
          </cell>
          <cell r="C1651">
            <v>45649</v>
          </cell>
          <cell r="D1651" t="str">
            <v>Always_On</v>
          </cell>
          <cell r="E1651" t="str">
            <v>UK</v>
          </cell>
          <cell r="F1651" t="str">
            <v>Social</v>
          </cell>
          <cell r="G1651">
            <v>4101</v>
          </cell>
          <cell r="H1651">
            <v>315756</v>
          </cell>
          <cell r="I1651">
            <v>146806</v>
          </cell>
          <cell r="J1651">
            <v>128</v>
          </cell>
        </row>
        <row r="1652">
          <cell r="A1652" t="str">
            <v>Always_OnUKDisplay</v>
          </cell>
          <cell r="B1652">
            <v>45649</v>
          </cell>
          <cell r="C1652">
            <v>45649</v>
          </cell>
          <cell r="D1652" t="str">
            <v>Always_On</v>
          </cell>
          <cell r="E1652" t="str">
            <v>UK</v>
          </cell>
          <cell r="F1652" t="str">
            <v>Display</v>
          </cell>
          <cell r="G1652">
            <v>4235</v>
          </cell>
          <cell r="H1652">
            <v>1035150</v>
          </cell>
          <cell r="I1652">
            <v>176864</v>
          </cell>
          <cell r="J1652">
            <v>32</v>
          </cell>
        </row>
        <row r="1653">
          <cell r="A1653" t="str">
            <v>Always_OnUKSearch</v>
          </cell>
          <cell r="B1653">
            <v>45649</v>
          </cell>
          <cell r="C1653">
            <v>45649</v>
          </cell>
          <cell r="D1653" t="str">
            <v>Always_On</v>
          </cell>
          <cell r="E1653" t="str">
            <v>UK</v>
          </cell>
          <cell r="F1653" t="str">
            <v>Search</v>
          </cell>
          <cell r="G1653">
            <v>2901</v>
          </cell>
          <cell r="H1653">
            <v>34627</v>
          </cell>
          <cell r="I1653">
            <v>29844</v>
          </cell>
          <cell r="J1653">
            <v>243</v>
          </cell>
        </row>
        <row r="1654">
          <cell r="A1654" t="str">
            <v>Always_OnDEYouTube</v>
          </cell>
          <cell r="B1654">
            <v>45649</v>
          </cell>
          <cell r="C1654">
            <v>45649</v>
          </cell>
          <cell r="D1654" t="str">
            <v>Always_On</v>
          </cell>
          <cell r="E1654" t="str">
            <v>DE</v>
          </cell>
          <cell r="F1654" t="str">
            <v>YouTube</v>
          </cell>
          <cell r="G1654">
            <v>4711</v>
          </cell>
          <cell r="H1654">
            <v>402070</v>
          </cell>
          <cell r="I1654">
            <v>160697</v>
          </cell>
          <cell r="J1654">
            <v>159</v>
          </cell>
        </row>
        <row r="1655">
          <cell r="A1655" t="str">
            <v>Always_OnDESocial</v>
          </cell>
          <cell r="B1655">
            <v>45649</v>
          </cell>
          <cell r="C1655">
            <v>45649</v>
          </cell>
          <cell r="D1655" t="str">
            <v>Always_On</v>
          </cell>
          <cell r="E1655" t="str">
            <v>DE</v>
          </cell>
          <cell r="F1655" t="str">
            <v>Social</v>
          </cell>
          <cell r="G1655">
            <v>6552</v>
          </cell>
          <cell r="H1655">
            <v>354331</v>
          </cell>
          <cell r="I1655">
            <v>177115</v>
          </cell>
          <cell r="J1655">
            <v>201</v>
          </cell>
        </row>
        <row r="1656">
          <cell r="A1656" t="str">
            <v>Always_OnDEDisplay</v>
          </cell>
          <cell r="B1656">
            <v>45649</v>
          </cell>
          <cell r="C1656">
            <v>45649</v>
          </cell>
          <cell r="D1656" t="str">
            <v>Always_On</v>
          </cell>
          <cell r="E1656" t="str">
            <v>DE</v>
          </cell>
          <cell r="F1656" t="str">
            <v>Display</v>
          </cell>
          <cell r="G1656">
            <v>4090</v>
          </cell>
          <cell r="H1656">
            <v>871287</v>
          </cell>
          <cell r="I1656">
            <v>199108</v>
          </cell>
          <cell r="J1656">
            <v>34</v>
          </cell>
        </row>
        <row r="1657">
          <cell r="A1657" t="str">
            <v>Always_OnDESearch</v>
          </cell>
          <cell r="B1657">
            <v>45649</v>
          </cell>
          <cell r="C1657">
            <v>45649</v>
          </cell>
          <cell r="D1657" t="str">
            <v>Always_On</v>
          </cell>
          <cell r="E1657" t="str">
            <v>DE</v>
          </cell>
          <cell r="F1657" t="str">
            <v>Search</v>
          </cell>
          <cell r="G1657">
            <v>6503</v>
          </cell>
          <cell r="H1657">
            <v>75635</v>
          </cell>
          <cell r="I1657">
            <v>65692</v>
          </cell>
          <cell r="J1657">
            <v>541</v>
          </cell>
        </row>
        <row r="1658">
          <cell r="A1658" t="str">
            <v>Always_OnSAYouTube</v>
          </cell>
          <cell r="B1658">
            <v>45649</v>
          </cell>
          <cell r="C1658">
            <v>45649</v>
          </cell>
          <cell r="D1658" t="str">
            <v>Always_On</v>
          </cell>
          <cell r="E1658" t="str">
            <v>SA</v>
          </cell>
          <cell r="F1658" t="str">
            <v>YouTube</v>
          </cell>
          <cell r="G1658">
            <v>4015</v>
          </cell>
          <cell r="H1658">
            <v>327175</v>
          </cell>
          <cell r="I1658">
            <v>153767</v>
          </cell>
          <cell r="J1658">
            <v>501</v>
          </cell>
        </row>
        <row r="1659">
          <cell r="A1659" t="str">
            <v>Always_OnSASocial</v>
          </cell>
          <cell r="B1659">
            <v>45649</v>
          </cell>
          <cell r="C1659">
            <v>45649</v>
          </cell>
          <cell r="D1659" t="str">
            <v>Always_On</v>
          </cell>
          <cell r="E1659" t="str">
            <v>SA</v>
          </cell>
          <cell r="F1659" t="str">
            <v>Social</v>
          </cell>
          <cell r="G1659">
            <v>3405</v>
          </cell>
          <cell r="H1659">
            <v>265478</v>
          </cell>
          <cell r="I1659">
            <v>128016</v>
          </cell>
          <cell r="J1659">
            <v>472</v>
          </cell>
        </row>
        <row r="1660">
          <cell r="A1660" t="str">
            <v>Always_OnSADisplay</v>
          </cell>
          <cell r="B1660">
            <v>45649</v>
          </cell>
          <cell r="C1660">
            <v>45649</v>
          </cell>
          <cell r="D1660" t="str">
            <v>Always_On</v>
          </cell>
          <cell r="E1660" t="str">
            <v>SA</v>
          </cell>
          <cell r="F1660" t="str">
            <v>Display</v>
          </cell>
          <cell r="G1660">
            <v>2658</v>
          </cell>
          <cell r="H1660">
            <v>700349</v>
          </cell>
          <cell r="I1660">
            <v>168825</v>
          </cell>
          <cell r="J1660">
            <v>83</v>
          </cell>
        </row>
        <row r="1661">
          <cell r="A1661" t="str">
            <v>Always_OnSASearch</v>
          </cell>
          <cell r="B1661">
            <v>45649</v>
          </cell>
          <cell r="C1661">
            <v>45649</v>
          </cell>
          <cell r="D1661" t="str">
            <v>Always_On</v>
          </cell>
          <cell r="E1661" t="str">
            <v>SA</v>
          </cell>
          <cell r="F1661" t="str">
            <v>Search</v>
          </cell>
          <cell r="G1661">
            <v>2544</v>
          </cell>
          <cell r="H1661">
            <v>34828</v>
          </cell>
          <cell r="I1661">
            <v>29072</v>
          </cell>
          <cell r="J1661">
            <v>812</v>
          </cell>
        </row>
        <row r="1662">
          <cell r="A1662" t="str">
            <v>Always_OnEGYouTube</v>
          </cell>
          <cell r="B1662">
            <v>45649</v>
          </cell>
          <cell r="C1662">
            <v>45649</v>
          </cell>
          <cell r="D1662" t="str">
            <v>Always_On</v>
          </cell>
          <cell r="E1662" t="str">
            <v>EG</v>
          </cell>
          <cell r="F1662" t="str">
            <v>YouTube</v>
          </cell>
          <cell r="G1662">
            <v>4473</v>
          </cell>
          <cell r="H1662">
            <v>260219</v>
          </cell>
          <cell r="I1662">
            <v>106800</v>
          </cell>
          <cell r="J1662">
            <v>554</v>
          </cell>
        </row>
        <row r="1663">
          <cell r="A1663" t="str">
            <v>Always_OnEGSocial</v>
          </cell>
          <cell r="B1663">
            <v>45649</v>
          </cell>
          <cell r="C1663">
            <v>45649</v>
          </cell>
          <cell r="D1663" t="str">
            <v>Always_On</v>
          </cell>
          <cell r="E1663" t="str">
            <v>EG</v>
          </cell>
          <cell r="F1663" t="str">
            <v>Social</v>
          </cell>
          <cell r="G1663">
            <v>2129</v>
          </cell>
          <cell r="H1663">
            <v>112521</v>
          </cell>
          <cell r="I1663">
            <v>47827</v>
          </cell>
          <cell r="J1663">
            <v>287</v>
          </cell>
        </row>
        <row r="1664">
          <cell r="A1664" t="str">
            <v>Always_OnEGDisplay</v>
          </cell>
          <cell r="B1664">
            <v>45649</v>
          </cell>
          <cell r="C1664">
            <v>45649</v>
          </cell>
          <cell r="D1664" t="str">
            <v>Always_On</v>
          </cell>
          <cell r="E1664" t="str">
            <v>EG</v>
          </cell>
          <cell r="F1664" t="str">
            <v>Display</v>
          </cell>
          <cell r="G1664">
            <v>3174</v>
          </cell>
          <cell r="H1664">
            <v>870676</v>
          </cell>
          <cell r="I1664">
            <v>178122</v>
          </cell>
          <cell r="J1664">
            <v>109</v>
          </cell>
        </row>
        <row r="1665">
          <cell r="A1665" t="str">
            <v>Always_OnEGSearch</v>
          </cell>
          <cell r="B1665">
            <v>45649</v>
          </cell>
          <cell r="C1665">
            <v>45649</v>
          </cell>
          <cell r="D1665" t="str">
            <v>Always_On</v>
          </cell>
          <cell r="E1665" t="str">
            <v>EG</v>
          </cell>
          <cell r="F1665" t="str">
            <v>Search</v>
          </cell>
          <cell r="G1665">
            <v>2174</v>
          </cell>
          <cell r="H1665">
            <v>22307</v>
          </cell>
          <cell r="I1665">
            <v>19836</v>
          </cell>
          <cell r="J1665">
            <v>744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ket Performance"/>
      <sheetName val="Strategic Timing"/>
      <sheetName val="Creative Performance"/>
    </sheetNames>
    <sheetDataSet>
      <sheetData sheetId="0"/>
      <sheetData sheetId="1">
        <row r="2">
          <cell r="A2" t="str">
            <v>ExamPrep_23</v>
          </cell>
          <cell r="B2">
            <v>518996.46322414413</v>
          </cell>
          <cell r="D2">
            <v>0.34268826977186628</v>
          </cell>
        </row>
        <row r="3">
          <cell r="A3" t="str">
            <v>BackToSchool_24</v>
          </cell>
          <cell r="B3">
            <v>472956.49506093038</v>
          </cell>
          <cell r="D3">
            <v>0.3716599768385771</v>
          </cell>
        </row>
        <row r="4">
          <cell r="A4" t="str">
            <v>NewYear_24</v>
          </cell>
          <cell r="B4">
            <v>408955.43694490998</v>
          </cell>
          <cell r="D4">
            <v>0.37949856140659788</v>
          </cell>
        </row>
        <row r="5">
          <cell r="A5" t="str">
            <v>BackToSchool_23</v>
          </cell>
          <cell r="B5">
            <v>335749.23864361271</v>
          </cell>
          <cell r="D5">
            <v>0.44785209523470809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thew lau" refreshedDate="46072.164133333332" createdVersion="8" refreshedVersion="8" minRefreshableVersion="3" recordCount="48" xr:uid="{4B2EA37A-E68D-9846-8BCE-637ADF1C4BFB}">
  <cacheSource type="worksheet">
    <worksheetSource ref="A1:Y49" sheet="Brand Lift Study Results_Result"/>
  </cacheSource>
  <cacheFields count="25">
    <cacheField name="Campaign_Name" numFmtId="0">
      <sharedItems count="4">
        <s v="BackToSchool_24"/>
        <s v="NewYear_24"/>
        <s v="BackToSchool_23"/>
        <s v="ExamPrep_23"/>
      </sharedItems>
    </cacheField>
    <cacheField name="Market" numFmtId="0">
      <sharedItems/>
    </cacheField>
    <cacheField name="Channel" numFmtId="0">
      <sharedItems/>
    </cacheField>
    <cacheField name="Control_Responses" numFmtId="0">
      <sharedItems containsSemiMixedTypes="0" containsString="0" containsNumber="1" containsInteger="1" minValue="1046" maxValue="2964"/>
    </cacheField>
    <cacheField name="Control_Consideration" numFmtId="0">
      <sharedItems containsSemiMixedTypes="0" containsString="0" containsNumber="1" containsInteger="1" minValue="156" maxValue="444"/>
    </cacheField>
    <cacheField name="Exposed_Responses" numFmtId="0">
      <sharedItems containsSemiMixedTypes="0" containsString="0" containsNumber="1" containsInteger="1" minValue="1104" maxValue="2920"/>
    </cacheField>
    <cacheField name="Exposed_Consideration" numFmtId="0">
      <sharedItems containsSemiMixedTypes="0" containsString="0" containsNumber="1" containsInteger="1" minValue="202" maxValue="877"/>
    </cacheField>
    <cacheField name="Control_Rate" numFmtId="0">
      <sharedItems containsSemiMixedTypes="0" containsString="0" containsNumber="1" minValue="0.14913957929999999" maxValue="0.15"/>
    </cacheField>
    <cacheField name="Exposed_Rate" numFmtId="0">
      <sharedItems containsSemiMixedTypes="0" containsString="0" containsNumber="1" minValue="0.15809818319999999" maxValue="0.30506478209999999"/>
    </cacheField>
    <cacheField name="Relative_Lift (%)" numFmtId="43">
      <sharedItems containsSemiMixedTypes="0" containsString="0" containsNumber="1" minValue="5.7062333360000004" maxValue="103.93118459999999"/>
    </cacheField>
    <cacheField name="Absolute_Lift" numFmtId="0">
      <sharedItems containsSemiMixedTypes="0" containsString="0" containsNumber="1" minValue="8.5485291000000074E-3" maxValue="0.15547276029999998"/>
    </cacheField>
    <cacheField name="Pooled Proportion (P)" numFmtId="0">
      <sharedItems containsSemiMixedTypes="0" containsString="0" containsNumber="1" minValue="0.15379999999999999" maxValue="0.25839920948616601"/>
    </cacheField>
    <cacheField name="Standard Error (SE)" numFmtId="0">
      <sharedItems containsSemiMixedTypes="0" containsString="0" containsNumber="1" minValue="2.0185410724518411E-2" maxValue="3.1207806475138919E-2"/>
    </cacheField>
    <cacheField name="Standard Z (95% boundary)" numFmtId="0">
      <sharedItems containsSemiMixedTypes="0" containsString="0" containsNumber="1" minValue="1.96" maxValue="1.96"/>
    </cacheField>
    <cacheField name="Margin of Error" numFmtId="0">
      <sharedItems containsSemiMixedTypes="0" containsString="0" containsNumber="1" minValue="3.9563405020056085E-2" maxValue="6.1167300691272283E-2"/>
    </cacheField>
    <cacheField name="Lower CI" numFmtId="0">
      <sharedItems containsSemiMixedTypes="0" containsString="0" containsNumber="1" minValue="-4.643146021701923E-2" maxValue="0.11281822326860234"/>
    </cacheField>
    <cacheField name="Upper CI" numFmtId="0">
      <sharedItems containsSemiMixedTypes="0" containsString="0" containsNumber="1" minValue="5.0871986653368832E-2" maxValue="0.2138212091807638"/>
    </cacheField>
    <cacheField name="Z-Score (Z)" numFmtId="0">
      <sharedItems containsSemiMixedTypes="0" containsString="0" containsNumber="1" minValue="0.33528089337291161" maxValue="7.1491980022835513"/>
    </cacheField>
    <cacheField name="P-value" numFmtId="0">
      <sharedItems containsSemiMixedTypes="0" containsString="0" containsNumber="1" minValue="8.7285734196029807E-13" maxValue="0.73741320533831956"/>
    </cacheField>
    <cacheField name="Significance" numFmtId="0">
      <sharedItems count="2">
        <s v="Significant"/>
        <s v="Not Significant"/>
      </sharedItems>
    </cacheField>
    <cacheField name="Campaign_ID" numFmtId="0">
      <sharedItems/>
    </cacheField>
    <cacheField name="Historic_Campaign_Spend_USD" numFmtId="0">
      <sharedItems containsSemiMixedTypes="0" containsString="0" containsNumber="1" containsInteger="1" minValue="7079" maxValue="24681"/>
    </cacheField>
    <cacheField name="Historic_Reach" numFmtId="165">
      <sharedItems containsSemiMixedTypes="0" containsString="0" containsNumber="1" containsInteger="1" minValue="181130" maxValue="919924"/>
    </cacheField>
    <cacheField name="Volume_of_Lifted_Users" numFmtId="43">
      <sharedItems containsSemiMixedTypes="0" containsString="0" containsNumber="1" minValue="0" maxValue="102715.8307066766"/>
    </cacheField>
    <cacheField name="Cost_Per_Lifted_user (CPL)" numFmtId="0">
      <sharedItems containsMixedTypes="1" containsNumber="1" minValue="0.19387903306958765" maxValue="0.43480416323882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SA"/>
    <s v="YouTube"/>
    <n v="2206"/>
    <n v="330"/>
    <n v="2547"/>
    <n v="777"/>
    <n v="0.1495920218"/>
    <n v="0.30506478209999999"/>
    <n v="103.93118459999999"/>
    <n v="0.15547276029999998"/>
    <n v="0.23290553334735956"/>
    <n v="2.1762518893570226E-2"/>
    <n v="1.96"/>
    <n v="4.2654537031397641E-2"/>
    <n v="0.11281822326860234"/>
    <n v="0.19812729733139761"/>
    <n v="7.1440608993995944"/>
    <n v="9.0616403269905277E-13"/>
    <x v="0"/>
    <s v="BackToSchool_24SAYouTube"/>
    <n v="14624"/>
    <n v="316136"/>
    <n v="49150.536550200792"/>
    <n v="0.29753490045960157"/>
  </r>
  <r>
    <x v="1"/>
    <s v="EG"/>
    <s v="Social"/>
    <n v="1884"/>
    <n v="282"/>
    <n v="2226"/>
    <n v="678"/>
    <n v="0.14968152870000001"/>
    <n v="0.30458221019999998"/>
    <n v="103.4868383"/>
    <n v="0.15490068149999997"/>
    <n v="0.23357664233576642"/>
    <n v="2.3329311684905697E-2"/>
    <n v="1.96"/>
    <n v="4.5725450902415164E-2"/>
    <n v="0.1091752305975848"/>
    <n v="0.20062613240241514"/>
    <n v="6.6397450380082281"/>
    <n v="3.1422642265965806E-11"/>
    <x v="0"/>
    <s v="NewYear_24EGSocial"/>
    <n v="10973"/>
    <n v="365377"/>
    <n v="56597.146304425492"/>
    <n v="0.19387903306958765"/>
  </r>
  <r>
    <x v="2"/>
    <s v="UK"/>
    <s v="Display"/>
    <n v="1741"/>
    <n v="261"/>
    <n v="1348"/>
    <n v="215"/>
    <n v="0.14991384260000001"/>
    <n v="0.15949554899999999"/>
    <n v="6.3914753800000002"/>
    <n v="9.581706399999973E-3"/>
    <n v="0.15409517643250242"/>
    <n v="2.8578146233173063E-2"/>
    <n v="1.96"/>
    <n v="5.6013166617019203E-2"/>
    <n v="-4.643146021701923E-2"/>
    <n v="6.5594873017019176E-2"/>
    <n v="0.33528089337291161"/>
    <n v="0.73741320533831956"/>
    <x v="1"/>
    <s v="BackToSchool_23UKDisplay"/>
    <n v="14304"/>
    <n v="919924"/>
    <n v="0"/>
    <s v="Inconclusive"/>
  </r>
  <r>
    <x v="2"/>
    <s v="SA"/>
    <s v="YouTube"/>
    <n v="2079"/>
    <n v="311"/>
    <n v="1611"/>
    <n v="490"/>
    <n v="0.1495911496"/>
    <n v="0.30415890750000002"/>
    <n v="103.32680670000001"/>
    <n v="0.15456775790000002"/>
    <n v="0.21707317073170732"/>
    <n v="2.6504332757472795E-2"/>
    <n v="1.96"/>
    <n v="5.1948492204646673E-2"/>
    <n v="0.10261926569535335"/>
    <n v="0.20651625010464669"/>
    <n v="5.8317920814822335"/>
    <n v="5.4835220808513441E-9"/>
    <x v="0"/>
    <s v="BackToSchool_23SAYouTube"/>
    <n v="7807"/>
    <n v="203157"/>
    <n v="31401.521991690304"/>
    <n v="0.24861852244187221"/>
  </r>
  <r>
    <x v="2"/>
    <s v="EG"/>
    <s v="YouTube"/>
    <n v="1842"/>
    <n v="276"/>
    <n v="1170"/>
    <n v="355"/>
    <n v="0.14983713360000001"/>
    <n v="0.30341880339999999"/>
    <n v="102.499071"/>
    <n v="0.15358166979999999"/>
    <n v="0.20949535192563082"/>
    <n v="3.0734458867736646E-2"/>
    <n v="1.96"/>
    <n v="6.0239539380763825E-2"/>
    <n v="9.3342130419236169E-2"/>
    <n v="0.2138212091807638"/>
    <n v="4.9970513702852806"/>
    <n v="5.8213565123921285E-7"/>
    <x v="0"/>
    <s v="BackToSchool_23EGYouTube"/>
    <n v="11011"/>
    <n v="334553"/>
    <n v="51381.208376599396"/>
    <n v="0.2143001371103361"/>
  </r>
  <r>
    <x v="2"/>
    <s v="DE"/>
    <s v="Display"/>
    <n v="2197"/>
    <n v="329"/>
    <n v="2286"/>
    <n v="367"/>
    <n v="0.1497496586"/>
    <n v="0.1605424322"/>
    <n v="7.2072108010000004"/>
    <n v="1.07927736E-2"/>
    <n v="0.15525317867499441"/>
    <n v="2.2296640761387532E-2"/>
    <n v="1.96"/>
    <n v="4.3701415892319566E-2"/>
    <n v="-3.2908642292319566E-2"/>
    <n v="5.4494189492319565E-2"/>
    <n v="0.48405379606288096"/>
    <n v="0.62834769079760533"/>
    <x v="1"/>
    <s v="BackToSchool_23DEDisplay"/>
    <n v="12595"/>
    <n v="626761"/>
    <n v="0"/>
    <s v="Inconclusive"/>
  </r>
  <r>
    <x v="1"/>
    <s v="SA"/>
    <s v="Social"/>
    <n v="2160"/>
    <n v="324"/>
    <n v="1767"/>
    <n v="535"/>
    <n v="0.15"/>
    <n v="0.30277306170000001"/>
    <n v="101.8487078"/>
    <n v="0.15277306170000002"/>
    <n v="0.21874204227145402"/>
    <n v="2.5397805634731471E-2"/>
    <n v="1.96"/>
    <n v="4.9779699044073686E-2"/>
    <n v="0.10299336265592633"/>
    <n v="0.20255276074407369"/>
    <n v="6.0152071362843653"/>
    <n v="1.7965682275189465E-9"/>
    <x v="0"/>
    <s v="NewYear_24SASocial"/>
    <n v="10658"/>
    <n v="285203"/>
    <n v="43571.335516025109"/>
    <n v="0.2446103584793744"/>
  </r>
  <r>
    <x v="3"/>
    <s v="EG"/>
    <s v="Social"/>
    <n v="1128"/>
    <n v="169"/>
    <n v="2920"/>
    <n v="877"/>
    <n v="0.14982269500000001"/>
    <n v="0.30034246580000001"/>
    <n v="100.46526710000001"/>
    <n v="0.15051977080000001"/>
    <n v="0.25839920948616601"/>
    <n v="2.2635142370035902E-2"/>
    <n v="1.96"/>
    <n v="4.4364879045270367E-2"/>
    <n v="0.10615489175472964"/>
    <n v="0.19488464984527037"/>
    <n v="6.6498265546257871"/>
    <n v="2.9343860674657662E-11"/>
    <x v="0"/>
    <s v="ExamPrep_23EGSocial"/>
    <n v="16025"/>
    <n v="501662"/>
    <n v="75510.049259069609"/>
    <n v="0.21222340810584514"/>
  </r>
  <r>
    <x v="2"/>
    <s v="SA"/>
    <s v="Display"/>
    <n v="1194"/>
    <n v="179"/>
    <n v="2360"/>
    <n v="419"/>
    <n v="0.14991624789999999"/>
    <n v="0.1775423729"/>
    <n v="18.427705710000001"/>
    <n v="2.7626125000000001E-2"/>
    <n v="0.16826111423747889"/>
    <n v="2.3258101649693243E-2"/>
    <n v="1.96"/>
    <n v="4.5585879233398754E-2"/>
    <n v="-1.7959754233398753E-2"/>
    <n v="7.3212004233398756E-2"/>
    <n v="1.1878065293589586"/>
    <n v="0.234909641393243"/>
    <x v="1"/>
    <s v="BackToSchool_23SADisplay"/>
    <n v="10117"/>
    <n v="630204"/>
    <n v="0"/>
    <s v="Inconclusive"/>
  </r>
  <r>
    <x v="2"/>
    <s v="SA"/>
    <s v="Social"/>
    <n v="2112"/>
    <n v="316"/>
    <n v="2842"/>
    <n v="850"/>
    <n v="0.14962121210000001"/>
    <n v="0.29908515130000002"/>
    <n v="99.894885930000001"/>
    <n v="0.14946393920000001"/>
    <n v="0.23536536132418248"/>
    <n v="2.0906392458602936E-2"/>
    <n v="1.96"/>
    <n v="4.0976529218861753E-2"/>
    <n v="0.10848740998113826"/>
    <n v="0.19044046841886175"/>
    <n v="7.1491980022835513"/>
    <n v="8.7285734196029807E-13"/>
    <x v="0"/>
    <s v="BackToSchool_23SASocial"/>
    <n v="12054"/>
    <n v="247821"/>
    <n v="37040.302876483205"/>
    <n v="0.32542930440379997"/>
  </r>
  <r>
    <x v="3"/>
    <s v="SA"/>
    <s v="YouTube"/>
    <n v="2956"/>
    <n v="443"/>
    <n v="1851"/>
    <n v="552"/>
    <n v="0.149864682"/>
    <n v="0.29821717990000002"/>
    <n v="98.990966999999998"/>
    <n v="0.14835249790000002"/>
    <n v="0.20698980653214064"/>
    <n v="2.4408563148082048E-2"/>
    <n v="1.96"/>
    <n v="4.7840783770240813E-2"/>
    <n v="0.10051171412975921"/>
    <n v="0.19619328167024083"/>
    <n v="6.0778873791125685"/>
    <n v="1.2177623354148182E-9"/>
    <x v="0"/>
    <s v="ExamPrep_23SAYouTube"/>
    <n v="15144"/>
    <n v="360438"/>
    <n v="53471.877638080208"/>
    <n v="0.28321429261378961"/>
  </r>
  <r>
    <x v="2"/>
    <s v="EG"/>
    <s v="Display"/>
    <n v="2249"/>
    <n v="337"/>
    <n v="1393"/>
    <n v="256"/>
    <n v="0.1498443753"/>
    <n v="0.18377602300000001"/>
    <n v="22.644592190000001"/>
    <n v="3.3931647700000012E-2"/>
    <n v="0.16282262493135641"/>
    <n v="2.7901341898706852E-2"/>
    <n v="1.96"/>
    <n v="5.4686630121465428E-2"/>
    <n v="-2.0754982421465416E-2"/>
    <n v="8.8618277821465447E-2"/>
    <n v="1.216129597751449"/>
    <n v="0.22393555722683445"/>
    <x v="1"/>
    <s v="BackToSchool_23EGDisplay"/>
    <n v="8799"/>
    <n v="519283"/>
    <n v="0"/>
    <s v="Inconclusive"/>
  </r>
  <r>
    <x v="0"/>
    <s v="DE"/>
    <s v="YouTube"/>
    <n v="1046"/>
    <n v="156"/>
    <n v="2635"/>
    <n v="742"/>
    <n v="0.14913957929999999"/>
    <n v="0.28159392789999999"/>
    <n v="88.812338830000002"/>
    <n v="0.13245434859999999"/>
    <n v="0.24395544688943221"/>
    <n v="2.3576188154334956E-2"/>
    <n v="1.96"/>
    <n v="4.6209328782496513E-2"/>
    <n v="8.6245019817503488E-2"/>
    <n v="0.1786636773824965"/>
    <n v="5.6181409705811838"/>
    <n v="1.9302298870371715E-8"/>
    <x v="0"/>
    <s v="BackToSchool_24DEYouTube"/>
    <n v="24640"/>
    <n v="775481"/>
    <n v="102715.8307066766"/>
    <n v="0.23988512608503279"/>
  </r>
  <r>
    <x v="3"/>
    <s v="UK"/>
    <s v="YouTube"/>
    <n v="1243"/>
    <n v="186"/>
    <n v="1352"/>
    <n v="378"/>
    <n v="0.1496379726"/>
    <n v="0.27958579880000001"/>
    <n v="86.841477380000001"/>
    <n v="0.12994782620000001"/>
    <n v="0.21734104046242775"/>
    <n v="2.9605649082853205E-2"/>
    <n v="1.96"/>
    <n v="5.8027072202392282E-2"/>
    <n v="7.1920753997607723E-2"/>
    <n v="0.18797489840239229"/>
    <n v="4.3892915786555848"/>
    <n v="1.1372050929825406E-5"/>
    <x v="0"/>
    <s v="ExamPrep_23UKYouTube"/>
    <n v="17643"/>
    <n v="575804"/>
    <n v="74824.478117264807"/>
    <n v="0.23579182165961676"/>
  </r>
  <r>
    <x v="3"/>
    <s v="UK"/>
    <s v="Display"/>
    <n v="2442"/>
    <n v="366"/>
    <n v="2730"/>
    <n v="440"/>
    <n v="0.14987714990000001"/>
    <n v="0.1611721612"/>
    <n v="7.5361796669999999"/>
    <n v="1.1295011299999991E-2"/>
    <n v="0.15583913379737047"/>
    <n v="2.0498085173352588E-2"/>
    <n v="1.96"/>
    <n v="4.0176246939771072E-2"/>
    <n v="-2.8881235639771081E-2"/>
    <n v="5.1471258239771063E-2"/>
    <n v="0.55102763036049096"/>
    <n v="0.58161473381479767"/>
    <x v="1"/>
    <s v="ExamPrep_23UKDisplay"/>
    <n v="11784"/>
    <n v="607661"/>
    <n v="0"/>
    <s v="Inconclusive"/>
  </r>
  <r>
    <x v="0"/>
    <s v="UK"/>
    <s v="YouTube"/>
    <n v="2275"/>
    <n v="341"/>
    <n v="1104"/>
    <n v="307"/>
    <n v="0.14989010990000001"/>
    <n v="0.27807971009999999"/>
    <n v="85.522387269999996"/>
    <n v="0.12818960019999998"/>
    <n v="0.191772713820657"/>
    <n v="3.1207806475138919E-2"/>
    <n v="1.96"/>
    <n v="6.1167300691272283E-2"/>
    <n v="6.7022299508727692E-2"/>
    <n v="0.18935690089127227"/>
    <n v="4.1076132762525202"/>
    <n v="3.9976872847180545E-5"/>
    <x v="0"/>
    <s v="BackToSchool_24UKYouTube"/>
    <n v="21685"/>
    <n v="636984"/>
    <n v="81654.724293796782"/>
    <n v="0.26556944729831616"/>
  </r>
  <r>
    <x v="0"/>
    <s v="DE"/>
    <s v="Social"/>
    <n v="1746"/>
    <n v="261"/>
    <n v="2788"/>
    <n v="774"/>
    <n v="0.14948453610000001"/>
    <n v="0.27761836439999998"/>
    <n v="85.717112749999998"/>
    <n v="0.12813382829999997"/>
    <n v="0.2282752536391707"/>
    <n v="2.1437741745416811E-2"/>
    <n v="1.96"/>
    <n v="4.2017973821016949E-2"/>
    <n v="8.6115854478983025E-2"/>
    <n v="0.17015180212101694"/>
    <n v="5.9770207991890656"/>
    <n v="2.2725519244204406E-9"/>
    <x v="0"/>
    <s v="BackToSchool_24DESocial"/>
    <n v="21452"/>
    <n v="665396"/>
    <n v="85259.736815506782"/>
    <n v="0.25160762631041073"/>
  </r>
  <r>
    <x v="3"/>
    <s v="DE"/>
    <s v="Display"/>
    <n v="1185"/>
    <n v="177"/>
    <n v="2587"/>
    <n v="409"/>
    <n v="0.1493670886"/>
    <n v="0.15809818319999999"/>
    <n v="5.845393853"/>
    <n v="8.7310945999999889E-3"/>
    <n v="0.15535524920466595"/>
    <n v="2.2299827328246917E-2"/>
    <n v="1.96"/>
    <n v="4.3707661563363955E-2"/>
    <n v="-3.4976566963363966E-2"/>
    <n v="5.2438756163363943E-2"/>
    <n v="0.39153193751148102"/>
    <n v="0.69540408628558326"/>
    <x v="1"/>
    <s v="ExamPrep_23DEDisplay"/>
    <n v="12710"/>
    <n v="652708"/>
    <n v="0"/>
    <s v="Inconclusive"/>
  </r>
  <r>
    <x v="2"/>
    <s v="EG"/>
    <s v="Social"/>
    <n v="2897"/>
    <n v="434"/>
    <n v="2840"/>
    <n v="785"/>
    <n v="0.14981014840000001"/>
    <n v="0.27640845069999997"/>
    <n v="84.505825270000003"/>
    <n v="0.12659830229999997"/>
    <n v="0.21248039044796932"/>
    <n v="2.0245327400482564E-2"/>
    <n v="1.96"/>
    <n v="3.9680841704945825E-2"/>
    <n v="8.6917460595054147E-2"/>
    <n v="0.16627914400494578"/>
    <n v="6.2532109160646314"/>
    <n v="4.0209857665729487E-10"/>
    <x v="0"/>
    <s v="BackToSchool_23EGSocial"/>
    <n v="10433"/>
    <n v="300593"/>
    <n v="38054.56348326389"/>
    <n v="0.27415897188226468"/>
  </r>
  <r>
    <x v="3"/>
    <s v="DE"/>
    <s v="Social"/>
    <n v="2175"/>
    <n v="326"/>
    <n v="1352"/>
    <n v="373"/>
    <n v="0.1498850575"/>
    <n v="0.27588757400000002"/>
    <n v="84.066096130000005"/>
    <n v="0.12600251650000002"/>
    <n v="0.19818542670825065"/>
    <n v="2.8508000683813744E-2"/>
    <n v="1.96"/>
    <n v="5.5875681340274937E-2"/>
    <n v="7.0126835159725093E-2"/>
    <n v="0.18187819784027495"/>
    <n v="4.4199001500495143"/>
    <n v="9.8746516326020384E-6"/>
    <x v="0"/>
    <s v="ExamPrep_23DESocial"/>
    <n v="20559"/>
    <n v="682609"/>
    <n v="86010.451785548517"/>
    <n v="0.2390290897583022"/>
  </r>
  <r>
    <x v="3"/>
    <s v="SA"/>
    <s v="Display"/>
    <n v="2837"/>
    <n v="425"/>
    <n v="2146"/>
    <n v="388"/>
    <n v="0.1498061332"/>
    <n v="0.18080149109999999"/>
    <n v="20.690313029999999"/>
    <n v="3.0995357899999992E-2"/>
    <n v="0.16315472606863335"/>
    <n v="2.2673990801710862E-2"/>
    <n v="1.96"/>
    <n v="4.4441021971353287E-2"/>
    <n v="-1.3445664071353294E-2"/>
    <n v="7.5436379871353279E-2"/>
    <n v="1.3670005501484654"/>
    <n v="0.17162513306966676"/>
    <x v="1"/>
    <s v="ExamPrep_23SADisplay"/>
    <n v="7133"/>
    <n v="375301"/>
    <n v="0"/>
    <s v="Inconclusive"/>
  </r>
  <r>
    <x v="1"/>
    <s v="DE"/>
    <s v="YouTube"/>
    <n v="2731"/>
    <n v="409"/>
    <n v="2449"/>
    <n v="674"/>
    <n v="0.1497619919"/>
    <n v="0.27521437319999997"/>
    <n v="83.767836979999998"/>
    <n v="0.12545238129999997"/>
    <n v="0.20907335907335908"/>
    <n v="2.1653632457795266E-2"/>
    <n v="1.96"/>
    <n v="4.2441119617278721E-2"/>
    <n v="8.3011261682721244E-2"/>
    <n v="0.1678935009172787"/>
    <n v="5.7935952106196096"/>
    <n v="6.8895398275259367E-9"/>
    <x v="0"/>
    <s v="NewYear_24DEYouTube"/>
    <n v="17385"/>
    <n v="463329"/>
    <n v="58125.726375347687"/>
    <n v="0.29909303649361935"/>
  </r>
  <r>
    <x v="0"/>
    <s v="UK"/>
    <s v="Social"/>
    <n v="2571"/>
    <n v="385"/>
    <n v="2228"/>
    <n v="612"/>
    <n v="0.14974718009999999"/>
    <n v="0.27468581689999999"/>
    <n v="83.433048099999993"/>
    <n v="0.1249386368"/>
    <n v="0.20775161491977495"/>
    <n v="2.2646219746637258E-2"/>
    <n v="1.96"/>
    <n v="4.4386590703409022E-2"/>
    <n v="8.0552046096590973E-2"/>
    <n v="0.16932522750340903"/>
    <n v="5.5169753803414441"/>
    <n v="3.4488372602226036E-8"/>
    <x v="0"/>
    <s v="BackToSchool_24UKSocial"/>
    <n v="17061"/>
    <n v="373457"/>
    <n v="46659.208483417598"/>
    <n v="0.36565129487919573"/>
  </r>
  <r>
    <x v="3"/>
    <s v="EG"/>
    <s v="Display"/>
    <n v="2485"/>
    <n v="372"/>
    <n v="1159"/>
    <n v="213"/>
    <n v="0.14969818909999999"/>
    <n v="0.18377911990000001"/>
    <n v="22.766428229999999"/>
    <n v="3.408093080000002E-2"/>
    <n v="0.16053787047200879"/>
    <n v="3.0282740036570006E-2"/>
    <n v="1.96"/>
    <n v="5.9354170471677209E-2"/>
    <n v="-2.5273239671677189E-2"/>
    <n v="9.3435101271677229E-2"/>
    <n v="1.1254242766289724"/>
    <n v="0.26040928856168954"/>
    <x v="1"/>
    <s v="ExamPrep_23EGDisplay"/>
    <n v="10871"/>
    <n v="653494"/>
    <n v="0"/>
    <s v="Inconclusive"/>
  </r>
  <r>
    <x v="1"/>
    <s v="SA"/>
    <s v="YouTube"/>
    <n v="2734"/>
    <n v="410"/>
    <n v="2787"/>
    <n v="766"/>
    <n v="0.14996342360000001"/>
    <n v="0.27484750629999999"/>
    <n v="83.276361499999993"/>
    <n v="0.12488408269999998"/>
    <n v="0.21300489041840245"/>
    <n v="2.0496908103272274E-2"/>
    <n v="1.96"/>
    <n v="4.0173939882413655E-2"/>
    <n v="8.471014281758632E-2"/>
    <n v="0.16505802258241364"/>
    <n v="6.0928254188768394"/>
    <n v="1.1093501672831962E-9"/>
    <x v="0"/>
    <s v="NewYear_24SAYouTube"/>
    <n v="13675"/>
    <n v="523081"/>
    <n v="65324.490862798688"/>
    <n v="0.20933955732960341"/>
  </r>
  <r>
    <x v="3"/>
    <s v="EG"/>
    <s v="YouTube"/>
    <n v="1246"/>
    <n v="186"/>
    <n v="1406"/>
    <n v="385"/>
    <n v="0.14927768860000001"/>
    <n v="0.27382645799999999"/>
    <n v="83.434283179999994"/>
    <n v="0.12454876939999998"/>
    <n v="0.21530920060331826"/>
    <n v="2.9100384460788012E-2"/>
    <n v="1.96"/>
    <n v="5.7036753543144504E-2"/>
    <n v="6.7512015856855484E-2"/>
    <n v="0.18158552294314448"/>
    <n v="4.279969894137519"/>
    <n v="1.8691859643205078E-5"/>
    <x v="0"/>
    <s v="ExamPrep_23EGYouTube"/>
    <n v="9096"/>
    <n v="310131"/>
    <n v="38626.434402791398"/>
    <n v="0.23548640045695401"/>
  </r>
  <r>
    <x v="1"/>
    <s v="UK"/>
    <s v="Display"/>
    <n v="2794"/>
    <n v="419"/>
    <n v="2206"/>
    <n v="350"/>
    <n v="0.14996420899999999"/>
    <n v="0.15865820489999999"/>
    <n v="5.7973805440000001"/>
    <n v="8.6939959000000011E-3"/>
    <n v="0.15379999999999999"/>
    <n v="2.2358209433475825E-2"/>
    <n v="1.96"/>
    <n v="4.3822090489612615E-2"/>
    <n v="-3.5128094589612614E-2"/>
    <n v="5.2516086389612616E-2"/>
    <n v="0.38885027559420376"/>
    <n v="0.69738690725791264"/>
    <x v="1"/>
    <s v="NewYear_24UKDisplay"/>
    <n v="9475"/>
    <n v="445236"/>
    <n v="0"/>
    <s v="Inconclusive"/>
  </r>
  <r>
    <x v="3"/>
    <s v="DE"/>
    <s v="YouTube"/>
    <n v="1494"/>
    <n v="224"/>
    <n v="1174"/>
    <n v="322"/>
    <n v="0.1499330656"/>
    <n v="0.2742759796"/>
    <n v="82.932282790000002"/>
    <n v="0.124342914"/>
    <n v="0.20464767616191903"/>
    <n v="3.0995739730230492E-2"/>
    <n v="1.96"/>
    <n v="6.0751649871251763E-2"/>
    <n v="6.3591264128748243E-2"/>
    <n v="0.18509456387125175"/>
    <n v="4.0116130501227225"/>
    <n v="6.0305286840867112E-5"/>
    <x v="0"/>
    <s v="ExamPrep_23DEYouTube"/>
    <n v="24681"/>
    <n v="803226"/>
    <n v="99875.461440564002"/>
    <n v="0.24711775689454701"/>
  </r>
  <r>
    <x v="1"/>
    <s v="UK"/>
    <s v="Social"/>
    <n v="1609"/>
    <n v="241"/>
    <n v="2381"/>
    <n v="651"/>
    <n v="0.14978247359999999"/>
    <n v="0.27341453170000002"/>
    <n v="82.541071169999995"/>
    <n v="0.12363205810000003"/>
    <n v="0.22355889724310776"/>
    <n v="2.2975475364543863E-2"/>
    <n v="1.96"/>
    <n v="4.5031931714505972E-2"/>
    <n v="7.8600126385494046E-2"/>
    <n v="0.168663989814506"/>
    <n v="5.3810446198989679"/>
    <n v="7.4054834264813962E-8"/>
    <x v="0"/>
    <s v="NewYear_24UKSocial"/>
    <n v="13543"/>
    <n v="388772"/>
    <n v="48064.682491653213"/>
    <n v="0.28176613883493024"/>
  </r>
  <r>
    <x v="1"/>
    <s v="DE"/>
    <s v="Display"/>
    <n v="1582"/>
    <n v="237"/>
    <n v="2608"/>
    <n v="413"/>
    <n v="0.14981036659999999"/>
    <n v="0.1583588957"/>
    <n v="5.7062333360000004"/>
    <n v="8.5485291000000074E-3"/>
    <n v="0.15513126491646778"/>
    <n v="2.1593600792535115E-2"/>
    <n v="1.96"/>
    <n v="4.2323457553368825E-2"/>
    <n v="-3.3774928453368817E-2"/>
    <n v="5.0871986653368832E-2"/>
    <n v="0.39588252011008856"/>
    <n v="0.69219169677258252"/>
    <x v="1"/>
    <s v="NewYear_24DEDisplay"/>
    <n v="11286"/>
    <n v="611667"/>
    <n v="0"/>
    <s v="Inconclusive"/>
  </r>
  <r>
    <x v="2"/>
    <s v="DE"/>
    <s v="YouTube"/>
    <n v="2236"/>
    <n v="335"/>
    <n v="1566"/>
    <n v="425"/>
    <n v="0.14982110909999999"/>
    <n v="0.27139208170000001"/>
    <n v="81.144087990000003"/>
    <n v="0.12157097260000002"/>
    <n v="0.19989479221462389"/>
    <n v="2.6647658784466011E-2"/>
    <n v="1.96"/>
    <n v="5.2229411217553381E-2"/>
    <n v="6.934156138244664E-2"/>
    <n v="0.17380038381755342"/>
    <n v="4.5621633623914688"/>
    <n v="5.0629229162435507E-6"/>
    <x v="0"/>
    <s v="BackToSchool_23DEYouTube"/>
    <n v="17521"/>
    <n v="418009"/>
    <n v="50817.76068555341"/>
    <n v="0.34478103252945796"/>
  </r>
  <r>
    <x v="2"/>
    <s v="UK"/>
    <s v="YouTube"/>
    <n v="1824"/>
    <n v="273"/>
    <n v="2204"/>
    <n v="595"/>
    <n v="0.14967105259999999"/>
    <n v="0.26996370240000001"/>
    <n v="80.371352790000003"/>
    <n v="0.12029264980000001"/>
    <n v="0.21549155908639522"/>
    <n v="2.3375289119441239E-2"/>
    <n v="1.96"/>
    <n v="4.581556667410483E-2"/>
    <n v="7.4477083125895183E-2"/>
    <n v="0.16610821647410484"/>
    <n v="5.146145965739203"/>
    <n v="2.6589255797127009E-7"/>
    <x v="0"/>
    <s v="BackToSchool_23UKYouTube"/>
    <n v="14827"/>
    <n v="406609"/>
    <n v="48912.074042528206"/>
    <n v="0.30313578580021322"/>
  </r>
  <r>
    <x v="1"/>
    <s v="SA"/>
    <s v="Display"/>
    <n v="1185"/>
    <n v="177"/>
    <n v="2637"/>
    <n v="483"/>
    <n v="0.1493670886"/>
    <n v="0.18316268490000001"/>
    <n v="22.62586529"/>
    <n v="3.3795596300000008E-2"/>
    <n v="0.17268445839874411"/>
    <n v="2.2355750922688936E-2"/>
    <n v="1.96"/>
    <n v="4.3817271808470316E-2"/>
    <n v="-1.0021675508470308E-2"/>
    <n v="7.7612868108470318E-2"/>
    <n v="1.5117182337946309"/>
    <n v="0.13060555799361029"/>
    <x v="1"/>
    <s v="NewYear_24SADisplay"/>
    <n v="7608"/>
    <n v="415482"/>
    <n v="0"/>
    <s v="Inconclusive"/>
  </r>
  <r>
    <x v="3"/>
    <s v="SA"/>
    <s v="Social"/>
    <n v="2964"/>
    <n v="444"/>
    <n v="2841"/>
    <n v="760"/>
    <n v="0.14979757090000001"/>
    <n v="0.26751143960000001"/>
    <n v="78.581961050000004"/>
    <n v="0.1177138687"/>
    <n v="0.2074074074074074"/>
    <n v="2.0185410724518411E-2"/>
    <n v="1.96"/>
    <n v="3.9563405020056085E-2"/>
    <n v="7.815046367994391E-2"/>
    <n v="0.15727727372005609"/>
    <n v="5.8316310877448565"/>
    <n v="5.4888165124111765E-9"/>
    <x v="0"/>
    <s v="ExamPrep_23SASocial"/>
    <n v="17144"/>
    <n v="414908"/>
    <n v="48840.425834579604"/>
    <n v="0.35102069048427181"/>
  </r>
  <r>
    <x v="1"/>
    <s v="DE"/>
    <s v="Social"/>
    <n v="2683"/>
    <n v="402"/>
    <n v="1725"/>
    <n v="459"/>
    <n v="0.14983227730000001"/>
    <n v="0.26608695650000003"/>
    <n v="77.589876700000005"/>
    <n v="0.11625467920000002"/>
    <n v="0.19532667876588022"/>
    <n v="2.526443440850485E-2"/>
    <n v="1.96"/>
    <n v="4.9518291440669507E-2"/>
    <n v="6.6736387759330509E-2"/>
    <n v="0.16577297064066954"/>
    <n v="4.6015152098898691"/>
    <n v="4.1942852266885211E-6"/>
    <x v="0"/>
    <s v="NewYear_24DESocial"/>
    <n v="19477"/>
    <n v="454532"/>
    <n v="52841.471846134409"/>
    <n v="0.3685930637343674"/>
  </r>
  <r>
    <x v="1"/>
    <s v="EG"/>
    <s v="Display"/>
    <n v="2113"/>
    <n v="316"/>
    <n v="1930"/>
    <n v="354"/>
    <n v="0.1495504023"/>
    <n v="0.18341968910000001"/>
    <n v="22.647406050000001"/>
    <n v="3.3869286800000009E-2"/>
    <n v="0.16571852584714322"/>
    <n v="2.4157106746945295E-2"/>
    <n v="1.96"/>
    <n v="4.7347929224012777E-2"/>
    <n v="-1.3478642424012768E-2"/>
    <n v="8.1217216024012787E-2"/>
    <n v="1.4020423536143389"/>
    <n v="0.16090259956006281"/>
    <x v="1"/>
    <s v="NewYear_24EGDisplay"/>
    <n v="8814"/>
    <n v="591654"/>
    <n v="0"/>
    <s v="Inconclusive"/>
  </r>
  <r>
    <x v="0"/>
    <s v="EG"/>
    <s v="YouTube"/>
    <n v="1137"/>
    <n v="170"/>
    <n v="1213"/>
    <n v="315"/>
    <n v="0.1495162709"/>
    <n v="0.25968672710000001"/>
    <n v="73.684593379999995"/>
    <n v="0.11017045620000002"/>
    <n v="0.20638297872340425"/>
    <n v="3.1120025669961693E-2"/>
    <n v="1.96"/>
    <n v="6.0995250313124916E-2"/>
    <n v="4.9175205886875101E-2"/>
    <n v="0.17116570651312493"/>
    <n v="3.5401788343105705"/>
    <n v="3.9985598097569408E-4"/>
    <x v="0"/>
    <s v="BackToSchool_24EGYouTube"/>
    <n v="13818"/>
    <n v="401715"/>
    <n v="44257.124812383008"/>
    <n v="0.31222091490529374"/>
  </r>
  <r>
    <x v="0"/>
    <s v="EG"/>
    <s v="Social"/>
    <n v="1970"/>
    <n v="295"/>
    <n v="2405"/>
    <n v="622"/>
    <n v="0.14974619289999999"/>
    <n v="0.25862785859999998"/>
    <n v="72.710807290000005"/>
    <n v="0.10888166569999999"/>
    <n v="0.20960000000000001"/>
    <n v="2.2358348911630816E-2"/>
    <n v="1.96"/>
    <n v="4.3822363866796402E-2"/>
    <n v="6.5059301833203589E-2"/>
    <n v="0.15270402956679641"/>
    <n v="4.8698437496589797"/>
    <n v="1.116865295580638E-6"/>
    <x v="0"/>
    <s v="BackToSchool_24EGSocial"/>
    <n v="14903"/>
    <n v="405417"/>
    <n v="44142.478263096898"/>
    <n v="0.33761131196974287"/>
  </r>
  <r>
    <x v="0"/>
    <s v="UK"/>
    <s v="Display"/>
    <n v="1111"/>
    <n v="166"/>
    <n v="2403"/>
    <n v="382"/>
    <n v="0.14941494150000001"/>
    <n v="0.1589679567"/>
    <n v="6.3936144080000004"/>
    <n v="9.5530151999999868E-3"/>
    <n v="0.15594763801935116"/>
    <n v="2.3121926958159573E-2"/>
    <n v="1.96"/>
    <n v="4.5318976837992762E-2"/>
    <n v="-3.5765961637992776E-2"/>
    <n v="5.4871992037992749E-2"/>
    <n v="0.41315826389758536"/>
    <n v="0.67949066416943205"/>
    <x v="1"/>
    <s v="BackToSchool_24UKDisplay"/>
    <n v="11957"/>
    <n v="709767"/>
    <n v="0"/>
    <s v="Inconclusive"/>
  </r>
  <r>
    <x v="0"/>
    <s v="SA"/>
    <s v="Social"/>
    <n v="2104"/>
    <n v="315"/>
    <n v="1712"/>
    <n v="437"/>
    <n v="0.14971482890000001"/>
    <n v="0.2552570093"/>
    <n v="70.495475450000001"/>
    <n v="0.10554218039999999"/>
    <n v="0.1970649895178197"/>
    <n v="2.567716305379085E-2"/>
    <n v="1.96"/>
    <n v="5.0327239585430061E-2"/>
    <n v="5.5214940814569929E-2"/>
    <n v="0.15586941998543005"/>
    <n v="4.1103520735098602"/>
    <n v="3.9505629922276242E-5"/>
    <x v="0"/>
    <s v="BackToSchool_24SASocial"/>
    <n v="7531"/>
    <n v="181130"/>
    <n v="19116.855135851998"/>
    <n v="0.39394554943696075"/>
  </r>
  <r>
    <x v="1"/>
    <s v="EG"/>
    <s v="YouTube"/>
    <n v="1970"/>
    <n v="295"/>
    <n v="2804"/>
    <n v="713"/>
    <n v="0.14974619289999999"/>
    <n v="0.25427960059999999"/>
    <n v="69.807055300000002"/>
    <n v="0.1045334077"/>
    <n v="0.21114369501466276"/>
    <n v="2.1004348056182846E-2"/>
    <n v="1.96"/>
    <n v="4.1168522190118378E-2"/>
    <n v="6.3364885509881619E-2"/>
    <n v="0.14570192989011838"/>
    <n v="4.9767508813123822"/>
    <n v="6.4660452814280234E-7"/>
    <x v="0"/>
    <s v="NewYear_24EGYouTube"/>
    <n v="10183"/>
    <n v="320996"/>
    <n v="33554.805738069197"/>
    <n v="0.30347366870453973"/>
  </r>
  <r>
    <x v="0"/>
    <s v="DE"/>
    <s v="Display"/>
    <n v="1892"/>
    <n v="283"/>
    <n v="2848"/>
    <n v="458"/>
    <n v="0.14957716700000001"/>
    <n v="0.1608146067"/>
    <n v="7.5128042239999999"/>
    <n v="1.123743969999999E-2"/>
    <n v="0.15632911392405063"/>
    <n v="2.0514216242771263E-2"/>
    <n v="1.96"/>
    <n v="4.0207863835831678E-2"/>
    <n v="-2.8970424135831688E-2"/>
    <n v="5.1445303535831668E-2"/>
    <n v="0.54778791288016204"/>
    <n v="0.58383753905711799"/>
    <x v="1"/>
    <s v="BackToSchool_24DEDisplay"/>
    <n v="11696"/>
    <n v="446576"/>
    <n v="0"/>
    <s v="Inconclusive"/>
  </r>
  <r>
    <x v="2"/>
    <s v="UK"/>
    <s v="Social"/>
    <n v="2473"/>
    <n v="370"/>
    <n v="1460"/>
    <n v="364"/>
    <n v="0.14961585120000001"/>
    <n v="0.24931506849999999"/>
    <n v="66.636801180000006"/>
    <n v="9.9699217299999976E-2"/>
    <n v="0.18662598525298754"/>
    <n v="2.731873201693704E-2"/>
    <n v="1.96"/>
    <n v="5.3544714753196596E-2"/>
    <n v="4.615450254680338E-2"/>
    <n v="0.15324393205319659"/>
    <n v="3.6494818733969261"/>
    <n v="2.627697802839446E-4"/>
    <x v="0"/>
    <s v="BackToSchool_23UKSocial"/>
    <n v="13898"/>
    <n v="347364"/>
    <n v="34631.918918197189"/>
    <n v="0.40130609085878166"/>
  </r>
  <r>
    <x v="1"/>
    <s v="UK"/>
    <s v="YouTube"/>
    <n v="1168"/>
    <n v="175"/>
    <n v="2025"/>
    <n v="494"/>
    <n v="0.14982876710000001"/>
    <n v="0.24395061730000001"/>
    <n v="62.819611989999999"/>
    <n v="9.4121850199999996E-2"/>
    <n v="0.2095208268086439"/>
    <n v="2.5211637978398295E-2"/>
    <n v="1.96"/>
    <n v="4.9414810437660654E-2"/>
    <n v="4.4707039762339341E-2"/>
    <n v="0.14353666063766066"/>
    <n v="3.7332699398843103"/>
    <n v="1.8900983633685087E-4"/>
    <x v="0"/>
    <s v="NewYear_24UKYouTube"/>
    <n v="22121"/>
    <n v="540531"/>
    <n v="50875.777810456195"/>
    <n v="0.4348041632388292"/>
  </r>
  <r>
    <x v="0"/>
    <s v="SA"/>
    <s v="Display"/>
    <n v="1968"/>
    <n v="295"/>
    <n v="1136"/>
    <n v="202"/>
    <n v="0.149898374"/>
    <n v="0.1778169014"/>
    <n v="18.62497016"/>
    <n v="2.7918527400000004E-2"/>
    <n v="0.16011597938144329"/>
    <n v="3.0799585068783338E-2"/>
    <n v="1.96"/>
    <n v="6.0367186734815344E-2"/>
    <n v="-3.244865933481534E-2"/>
    <n v="8.8285714134815341E-2"/>
    <n v="0.90645790641824564"/>
    <n v="0.36469353514030844"/>
    <x v="1"/>
    <s v="BackToSchool_24SADisplay"/>
    <n v="7079"/>
    <n v="368172"/>
    <n v="0"/>
    <s v="Inconclusive"/>
  </r>
  <r>
    <x v="3"/>
    <s v="UK"/>
    <s v="Social"/>
    <n v="2385"/>
    <n v="357"/>
    <n v="2128"/>
    <n v="513"/>
    <n v="0.1496855346"/>
    <n v="0.2410714286"/>
    <n v="61.051920770000002"/>
    <n v="9.1385893999999995E-2"/>
    <n v="0.19277642366496786"/>
    <n v="2.3133776941314615E-2"/>
    <n v="1.96"/>
    <n v="4.5342202804976646E-2"/>
    <n v="4.6043691195023349E-2"/>
    <n v="0.13672809680497663"/>
    <n v="3.9503231241412169"/>
    <n v="7.8045756324529592E-5"/>
    <x v="0"/>
    <s v="ExamPrep_23UKSocial"/>
    <n v="15064"/>
    <n v="457809"/>
    <n v="41837.284746245998"/>
    <n v="0.36006160751987309"/>
  </r>
  <r>
    <x v="2"/>
    <s v="DE"/>
    <s v="Social"/>
    <n v="2269"/>
    <n v="340"/>
    <n v="1134"/>
    <n v="273"/>
    <n v="0.149845747"/>
    <n v="0.24074074070000001"/>
    <n v="60.659041389999999"/>
    <n v="9.089499370000001E-2"/>
    <n v="0.18013517484572436"/>
    <n v="3.077211429201715E-2"/>
    <n v="1.96"/>
    <n v="6.0313344012353609E-2"/>
    <n v="3.0581649687646401E-2"/>
    <n v="0.15120833771235362"/>
    <n v="2.9538104804056262"/>
    <n v="3.138766977034857E-3"/>
    <x v="0"/>
    <s v="BackToSchool_23DESocial"/>
    <n v="17000"/>
    <n v="478683"/>
    <n v="43509.888269297102"/>
    <n v="0.39071578154329822"/>
  </r>
  <r>
    <x v="0"/>
    <s v="EG"/>
    <s v="Display"/>
    <n v="2247"/>
    <n v="337"/>
    <n v="1321"/>
    <n v="236"/>
    <n v="0.1499777481"/>
    <n v="0.178652536"/>
    <n v="19.119361510000001"/>
    <n v="2.8674787899999998E-2"/>
    <n v="0.16059417040358745"/>
    <n v="2.8583124553686761E-2"/>
    <n v="1.96"/>
    <n v="5.6022924125226053E-2"/>
    <n v="-2.7348136225226055E-2"/>
    <n v="8.4697712025226052E-2"/>
    <n v="1.0032069043445921"/>
    <n v="0.31576104240711134"/>
    <x v="1"/>
    <s v="BackToSchool_24EGDisplay"/>
    <n v="9333"/>
    <n v="319361"/>
    <n v="0"/>
    <s v="Inconclus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4BD954-C333-B14F-891C-ED438FB9FF0C}" name="PivotTable6" cacheId="7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>
  <location ref="AA3:AD7" firstHeaderRow="0" firstDataRow="1" firstDataCol="1" rowPageCount="1" colPageCount="1"/>
  <pivotFields count="25"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dataField="1" showAll="0"/>
    <pivotField numFmtId="165" showAll="0"/>
    <pivotField dataField="1" numFmtId="43" showAll="0"/>
    <pivotField dataField="1" showAll="0"/>
  </pivotFields>
  <rowFields count="1">
    <field x="0"/>
  </rowFields>
  <rowItems count="4">
    <i>
      <x v="1"/>
    </i>
    <i>
      <x v="2"/>
    </i>
    <i>
      <x/>
    </i>
    <i>
      <x v="3"/>
    </i>
  </rowItems>
  <colFields count="1">
    <field x="-2"/>
  </colFields>
  <colItems count="3">
    <i>
      <x/>
    </i>
    <i i="1">
      <x v="1"/>
    </i>
    <i i="2">
      <x v="2"/>
    </i>
  </colItems>
  <pageFields count="1">
    <pageField fld="19" hier="-1"/>
  </pageFields>
  <dataFields count="3">
    <dataField name="Sum of Volume_of_Lifted_Users" fld="23" baseField="0" baseItem="0"/>
    <dataField name="Sum of Historic_Campaign_Spend_USD" fld="21" baseField="0" baseItem="0"/>
    <dataField name="Average of Cost_Per_Lifted_user (CPL)" fld="24" subtotal="average" baseField="0" baseItem="0" numFmtId="166"/>
  </dataFields>
  <formats count="3">
    <format dxfId="28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L10" sqref="L10"/>
    </sheetView>
  </sheetViews>
  <sheetFormatPr baseColWidth="10" defaultRowHeight="16" x14ac:dyDescent="0.2"/>
  <cols>
    <col min="1" max="1" width="15.33203125" bestFit="1" customWidth="1"/>
    <col min="2" max="2" width="7" bestFit="1" customWidth="1"/>
    <col min="3" max="3" width="8.1640625" bestFit="1" customWidth="1"/>
    <col min="4" max="4" width="16.83203125" bestFit="1" customWidth="1"/>
    <col min="5" max="5" width="19.33203125" bestFit="1" customWidth="1"/>
    <col min="6" max="6" width="17.6640625" bestFit="1" customWidth="1"/>
    <col min="7" max="7" width="20.1640625" bestFit="1" customWidth="1"/>
    <col min="8" max="8" width="12.1640625" bestFit="1" customWidth="1"/>
    <col min="9" max="9" width="12.6640625" bestFit="1" customWidth="1"/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1824</v>
      </c>
      <c r="E2">
        <v>273</v>
      </c>
      <c r="F2">
        <v>2204</v>
      </c>
      <c r="G2">
        <v>595</v>
      </c>
      <c r="H2">
        <v>0.14967105259999999</v>
      </c>
      <c r="I2">
        <v>0.26996370240000001</v>
      </c>
      <c r="J2">
        <v>80.371352790000003</v>
      </c>
    </row>
    <row r="3" spans="1:10" x14ac:dyDescent="0.2">
      <c r="A3" t="s">
        <v>10</v>
      </c>
      <c r="B3" t="s">
        <v>11</v>
      </c>
      <c r="C3" t="s">
        <v>13</v>
      </c>
      <c r="D3">
        <v>2473</v>
      </c>
      <c r="E3">
        <v>370</v>
      </c>
      <c r="F3">
        <v>1460</v>
      </c>
      <c r="G3">
        <v>364</v>
      </c>
      <c r="H3">
        <v>0.14961585120000001</v>
      </c>
      <c r="I3">
        <v>0.24931506849999999</v>
      </c>
      <c r="J3">
        <v>66.636801180000006</v>
      </c>
    </row>
    <row r="4" spans="1:10" x14ac:dyDescent="0.2">
      <c r="A4" t="s">
        <v>10</v>
      </c>
      <c r="B4" t="s">
        <v>11</v>
      </c>
      <c r="C4" t="s">
        <v>14</v>
      </c>
      <c r="D4">
        <v>1741</v>
      </c>
      <c r="E4">
        <v>261</v>
      </c>
      <c r="F4">
        <v>1348</v>
      </c>
      <c r="G4">
        <v>215</v>
      </c>
      <c r="H4">
        <v>0.14991384260000001</v>
      </c>
      <c r="I4">
        <v>0.15949554899999999</v>
      </c>
      <c r="J4">
        <v>6.3914753800000002</v>
      </c>
    </row>
    <row r="5" spans="1:10" x14ac:dyDescent="0.2">
      <c r="A5" t="s">
        <v>10</v>
      </c>
      <c r="B5" t="s">
        <v>15</v>
      </c>
      <c r="C5" t="s">
        <v>12</v>
      </c>
      <c r="D5">
        <v>2236</v>
      </c>
      <c r="E5">
        <v>335</v>
      </c>
      <c r="F5">
        <v>1566</v>
      </c>
      <c r="G5">
        <v>425</v>
      </c>
      <c r="H5">
        <v>0.14982110909999999</v>
      </c>
      <c r="I5">
        <v>0.27139208170000001</v>
      </c>
      <c r="J5">
        <v>81.144087990000003</v>
      </c>
    </row>
    <row r="6" spans="1:10" x14ac:dyDescent="0.2">
      <c r="A6" t="s">
        <v>10</v>
      </c>
      <c r="B6" t="s">
        <v>15</v>
      </c>
      <c r="C6" t="s">
        <v>13</v>
      </c>
      <c r="D6">
        <v>2269</v>
      </c>
      <c r="E6">
        <v>340</v>
      </c>
      <c r="F6">
        <v>1134</v>
      </c>
      <c r="G6">
        <v>273</v>
      </c>
      <c r="H6">
        <v>0.149845747</v>
      </c>
      <c r="I6">
        <v>0.24074074070000001</v>
      </c>
      <c r="J6">
        <v>60.659041389999999</v>
      </c>
    </row>
    <row r="7" spans="1:10" x14ac:dyDescent="0.2">
      <c r="A7" t="s">
        <v>10</v>
      </c>
      <c r="B7" t="s">
        <v>15</v>
      </c>
      <c r="C7" t="s">
        <v>14</v>
      </c>
      <c r="D7">
        <v>2197</v>
      </c>
      <c r="E7">
        <v>329</v>
      </c>
      <c r="F7">
        <v>2286</v>
      </c>
      <c r="G7">
        <v>367</v>
      </c>
      <c r="H7">
        <v>0.1497496586</v>
      </c>
      <c r="I7">
        <v>0.1605424322</v>
      </c>
      <c r="J7">
        <v>7.2072108010000004</v>
      </c>
    </row>
    <row r="8" spans="1:10" x14ac:dyDescent="0.2">
      <c r="A8" t="s">
        <v>10</v>
      </c>
      <c r="B8" t="s">
        <v>16</v>
      </c>
      <c r="C8" t="s">
        <v>12</v>
      </c>
      <c r="D8">
        <v>2079</v>
      </c>
      <c r="E8">
        <v>311</v>
      </c>
      <c r="F8">
        <v>1611</v>
      </c>
      <c r="G8">
        <v>490</v>
      </c>
      <c r="H8">
        <v>0.1495911496</v>
      </c>
      <c r="I8">
        <v>0.30415890750000002</v>
      </c>
      <c r="J8">
        <v>103.32680670000001</v>
      </c>
    </row>
    <row r="9" spans="1:10" x14ac:dyDescent="0.2">
      <c r="A9" t="s">
        <v>10</v>
      </c>
      <c r="B9" t="s">
        <v>16</v>
      </c>
      <c r="C9" t="s">
        <v>13</v>
      </c>
      <c r="D9">
        <v>2112</v>
      </c>
      <c r="E9">
        <v>316</v>
      </c>
      <c r="F9">
        <v>2842</v>
      </c>
      <c r="G9">
        <v>850</v>
      </c>
      <c r="H9">
        <v>0.14962121210000001</v>
      </c>
      <c r="I9">
        <v>0.29908515130000002</v>
      </c>
      <c r="J9">
        <v>99.894885930000001</v>
      </c>
    </row>
    <row r="10" spans="1:10" x14ac:dyDescent="0.2">
      <c r="A10" t="s">
        <v>10</v>
      </c>
      <c r="B10" t="s">
        <v>16</v>
      </c>
      <c r="C10" t="s">
        <v>14</v>
      </c>
      <c r="D10">
        <v>1194</v>
      </c>
      <c r="E10">
        <v>179</v>
      </c>
      <c r="F10">
        <v>2360</v>
      </c>
      <c r="G10">
        <v>419</v>
      </c>
      <c r="H10">
        <v>0.14991624789999999</v>
      </c>
      <c r="I10">
        <v>0.1775423729</v>
      </c>
      <c r="J10">
        <v>18.427705710000001</v>
      </c>
    </row>
    <row r="11" spans="1:10" x14ac:dyDescent="0.2">
      <c r="A11" t="s">
        <v>10</v>
      </c>
      <c r="B11" t="s">
        <v>17</v>
      </c>
      <c r="C11" t="s">
        <v>12</v>
      </c>
      <c r="D11">
        <v>1842</v>
      </c>
      <c r="E11">
        <v>276</v>
      </c>
      <c r="F11">
        <v>1170</v>
      </c>
      <c r="G11">
        <v>355</v>
      </c>
      <c r="H11">
        <v>0.14983713360000001</v>
      </c>
      <c r="I11">
        <v>0.30341880339999999</v>
      </c>
      <c r="J11">
        <v>102.499071</v>
      </c>
    </row>
    <row r="12" spans="1:10" x14ac:dyDescent="0.2">
      <c r="A12" t="s">
        <v>10</v>
      </c>
      <c r="B12" t="s">
        <v>17</v>
      </c>
      <c r="C12" t="s">
        <v>13</v>
      </c>
      <c r="D12">
        <v>2897</v>
      </c>
      <c r="E12">
        <v>434</v>
      </c>
      <c r="F12">
        <v>2840</v>
      </c>
      <c r="G12">
        <v>785</v>
      </c>
      <c r="H12">
        <v>0.14981014840000001</v>
      </c>
      <c r="I12">
        <v>0.27640845069999997</v>
      </c>
      <c r="J12">
        <v>84.505825270000003</v>
      </c>
    </row>
    <row r="13" spans="1:10" x14ac:dyDescent="0.2">
      <c r="A13" t="s">
        <v>10</v>
      </c>
      <c r="B13" t="s">
        <v>17</v>
      </c>
      <c r="C13" t="s">
        <v>14</v>
      </c>
      <c r="D13">
        <v>2249</v>
      </c>
      <c r="E13">
        <v>337</v>
      </c>
      <c r="F13">
        <v>1393</v>
      </c>
      <c r="G13">
        <v>256</v>
      </c>
      <c r="H13">
        <v>0.1498443753</v>
      </c>
      <c r="I13">
        <v>0.18377602300000001</v>
      </c>
      <c r="J13">
        <v>22.644592190000001</v>
      </c>
    </row>
    <row r="14" spans="1:10" x14ac:dyDescent="0.2">
      <c r="A14" t="s">
        <v>18</v>
      </c>
      <c r="B14" t="s">
        <v>11</v>
      </c>
      <c r="C14" t="s">
        <v>12</v>
      </c>
      <c r="D14">
        <v>1243</v>
      </c>
      <c r="E14">
        <v>186</v>
      </c>
      <c r="F14">
        <v>1352</v>
      </c>
      <c r="G14">
        <v>378</v>
      </c>
      <c r="H14">
        <v>0.1496379726</v>
      </c>
      <c r="I14">
        <v>0.27958579880000001</v>
      </c>
      <c r="J14">
        <v>86.841477380000001</v>
      </c>
    </row>
    <row r="15" spans="1:10" x14ac:dyDescent="0.2">
      <c r="A15" t="s">
        <v>18</v>
      </c>
      <c r="B15" t="s">
        <v>11</v>
      </c>
      <c r="C15" t="s">
        <v>13</v>
      </c>
      <c r="D15">
        <v>2385</v>
      </c>
      <c r="E15">
        <v>357</v>
      </c>
      <c r="F15">
        <v>2128</v>
      </c>
      <c r="G15">
        <v>513</v>
      </c>
      <c r="H15">
        <v>0.1496855346</v>
      </c>
      <c r="I15">
        <v>0.2410714286</v>
      </c>
      <c r="J15">
        <v>61.051920770000002</v>
      </c>
    </row>
    <row r="16" spans="1:10" x14ac:dyDescent="0.2">
      <c r="A16" t="s">
        <v>18</v>
      </c>
      <c r="B16" t="s">
        <v>11</v>
      </c>
      <c r="C16" t="s">
        <v>14</v>
      </c>
      <c r="D16">
        <v>2442</v>
      </c>
      <c r="E16">
        <v>366</v>
      </c>
      <c r="F16">
        <v>2730</v>
      </c>
      <c r="G16">
        <v>440</v>
      </c>
      <c r="H16">
        <v>0.14987714990000001</v>
      </c>
      <c r="I16">
        <v>0.1611721612</v>
      </c>
      <c r="J16">
        <v>7.5361796669999999</v>
      </c>
    </row>
    <row r="17" spans="1:10" x14ac:dyDescent="0.2">
      <c r="A17" t="s">
        <v>18</v>
      </c>
      <c r="B17" t="s">
        <v>15</v>
      </c>
      <c r="C17" t="s">
        <v>12</v>
      </c>
      <c r="D17">
        <v>1494</v>
      </c>
      <c r="E17">
        <v>224</v>
      </c>
      <c r="F17">
        <v>1174</v>
      </c>
      <c r="G17">
        <v>322</v>
      </c>
      <c r="H17">
        <v>0.1499330656</v>
      </c>
      <c r="I17">
        <v>0.2742759796</v>
      </c>
      <c r="J17">
        <v>82.932282790000002</v>
      </c>
    </row>
    <row r="18" spans="1:10" x14ac:dyDescent="0.2">
      <c r="A18" t="s">
        <v>18</v>
      </c>
      <c r="B18" t="s">
        <v>15</v>
      </c>
      <c r="C18" t="s">
        <v>13</v>
      </c>
      <c r="D18">
        <v>2175</v>
      </c>
      <c r="E18">
        <v>326</v>
      </c>
      <c r="F18">
        <v>1352</v>
      </c>
      <c r="G18">
        <v>373</v>
      </c>
      <c r="H18">
        <v>0.1498850575</v>
      </c>
      <c r="I18">
        <v>0.27588757400000002</v>
      </c>
      <c r="J18">
        <v>84.066096130000005</v>
      </c>
    </row>
    <row r="19" spans="1:10" x14ac:dyDescent="0.2">
      <c r="A19" t="s">
        <v>18</v>
      </c>
      <c r="B19" t="s">
        <v>15</v>
      </c>
      <c r="C19" t="s">
        <v>14</v>
      </c>
      <c r="D19">
        <v>1185</v>
      </c>
      <c r="E19">
        <v>177</v>
      </c>
      <c r="F19">
        <v>2587</v>
      </c>
      <c r="G19">
        <v>409</v>
      </c>
      <c r="H19">
        <v>0.1493670886</v>
      </c>
      <c r="I19">
        <v>0.15809818319999999</v>
      </c>
      <c r="J19">
        <v>5.845393853</v>
      </c>
    </row>
    <row r="20" spans="1:10" x14ac:dyDescent="0.2">
      <c r="A20" t="s">
        <v>18</v>
      </c>
      <c r="B20" t="s">
        <v>16</v>
      </c>
      <c r="C20" t="s">
        <v>12</v>
      </c>
      <c r="D20">
        <v>2956</v>
      </c>
      <c r="E20">
        <v>443</v>
      </c>
      <c r="F20">
        <v>1851</v>
      </c>
      <c r="G20">
        <v>552</v>
      </c>
      <c r="H20">
        <v>0.149864682</v>
      </c>
      <c r="I20">
        <v>0.29821717990000002</v>
      </c>
      <c r="J20">
        <v>98.990966999999998</v>
      </c>
    </row>
    <row r="21" spans="1:10" x14ac:dyDescent="0.2">
      <c r="A21" t="s">
        <v>18</v>
      </c>
      <c r="B21" t="s">
        <v>16</v>
      </c>
      <c r="C21" t="s">
        <v>13</v>
      </c>
      <c r="D21">
        <v>2964</v>
      </c>
      <c r="E21">
        <v>444</v>
      </c>
      <c r="F21">
        <v>2841</v>
      </c>
      <c r="G21">
        <v>760</v>
      </c>
      <c r="H21">
        <v>0.14979757090000001</v>
      </c>
      <c r="I21">
        <v>0.26751143960000001</v>
      </c>
      <c r="J21">
        <v>78.581961050000004</v>
      </c>
    </row>
    <row r="22" spans="1:10" x14ac:dyDescent="0.2">
      <c r="A22" t="s">
        <v>18</v>
      </c>
      <c r="B22" t="s">
        <v>16</v>
      </c>
      <c r="C22" t="s">
        <v>14</v>
      </c>
      <c r="D22">
        <v>2837</v>
      </c>
      <c r="E22">
        <v>425</v>
      </c>
      <c r="F22">
        <v>2146</v>
      </c>
      <c r="G22">
        <v>388</v>
      </c>
      <c r="H22">
        <v>0.1498061332</v>
      </c>
      <c r="I22">
        <v>0.18080149109999999</v>
      </c>
      <c r="J22">
        <v>20.690313029999999</v>
      </c>
    </row>
    <row r="23" spans="1:10" x14ac:dyDescent="0.2">
      <c r="A23" t="s">
        <v>18</v>
      </c>
      <c r="B23" t="s">
        <v>17</v>
      </c>
      <c r="C23" t="s">
        <v>12</v>
      </c>
      <c r="D23">
        <v>1246</v>
      </c>
      <c r="E23">
        <v>186</v>
      </c>
      <c r="F23">
        <v>1406</v>
      </c>
      <c r="G23">
        <v>385</v>
      </c>
      <c r="H23">
        <v>0.14927768860000001</v>
      </c>
      <c r="I23">
        <v>0.27382645799999999</v>
      </c>
      <c r="J23">
        <v>83.434283179999994</v>
      </c>
    </row>
    <row r="24" spans="1:10" x14ac:dyDescent="0.2">
      <c r="A24" t="s">
        <v>18</v>
      </c>
      <c r="B24" t="s">
        <v>17</v>
      </c>
      <c r="C24" t="s">
        <v>13</v>
      </c>
      <c r="D24">
        <v>1128</v>
      </c>
      <c r="E24">
        <v>169</v>
      </c>
      <c r="F24">
        <v>2920</v>
      </c>
      <c r="G24">
        <v>877</v>
      </c>
      <c r="H24">
        <v>0.14982269500000001</v>
      </c>
      <c r="I24">
        <v>0.30034246580000001</v>
      </c>
      <c r="J24">
        <v>100.46526710000001</v>
      </c>
    </row>
    <row r="25" spans="1:10" x14ac:dyDescent="0.2">
      <c r="A25" t="s">
        <v>18</v>
      </c>
      <c r="B25" t="s">
        <v>17</v>
      </c>
      <c r="C25" t="s">
        <v>14</v>
      </c>
      <c r="D25">
        <v>2485</v>
      </c>
      <c r="E25">
        <v>372</v>
      </c>
      <c r="F25">
        <v>1159</v>
      </c>
      <c r="G25">
        <v>213</v>
      </c>
      <c r="H25">
        <v>0.14969818909999999</v>
      </c>
      <c r="I25">
        <v>0.18377911990000001</v>
      </c>
      <c r="J25">
        <v>22.766428229999999</v>
      </c>
    </row>
    <row r="26" spans="1:10" x14ac:dyDescent="0.2">
      <c r="A26" t="s">
        <v>19</v>
      </c>
      <c r="B26" t="s">
        <v>11</v>
      </c>
      <c r="C26" t="s">
        <v>12</v>
      </c>
      <c r="D26">
        <v>1168</v>
      </c>
      <c r="E26">
        <v>175</v>
      </c>
      <c r="F26">
        <v>2025</v>
      </c>
      <c r="G26">
        <v>494</v>
      </c>
      <c r="H26">
        <v>0.14982876710000001</v>
      </c>
      <c r="I26">
        <v>0.24395061730000001</v>
      </c>
      <c r="J26">
        <v>62.819611989999999</v>
      </c>
    </row>
    <row r="27" spans="1:10" x14ac:dyDescent="0.2">
      <c r="A27" t="s">
        <v>19</v>
      </c>
      <c r="B27" t="s">
        <v>11</v>
      </c>
      <c r="C27" t="s">
        <v>13</v>
      </c>
      <c r="D27">
        <v>1609</v>
      </c>
      <c r="E27">
        <v>241</v>
      </c>
      <c r="F27">
        <v>2381</v>
      </c>
      <c r="G27">
        <v>651</v>
      </c>
      <c r="H27">
        <v>0.14978247359999999</v>
      </c>
      <c r="I27">
        <v>0.27341453170000002</v>
      </c>
      <c r="J27">
        <v>82.541071169999995</v>
      </c>
    </row>
    <row r="28" spans="1:10" x14ac:dyDescent="0.2">
      <c r="A28" t="s">
        <v>19</v>
      </c>
      <c r="B28" t="s">
        <v>11</v>
      </c>
      <c r="C28" t="s">
        <v>14</v>
      </c>
      <c r="D28">
        <v>2794</v>
      </c>
      <c r="E28">
        <v>419</v>
      </c>
      <c r="F28">
        <v>2206</v>
      </c>
      <c r="G28">
        <v>350</v>
      </c>
      <c r="H28">
        <v>0.14996420899999999</v>
      </c>
      <c r="I28">
        <v>0.15865820489999999</v>
      </c>
      <c r="J28">
        <v>5.7973805440000001</v>
      </c>
    </row>
    <row r="29" spans="1:10" x14ac:dyDescent="0.2">
      <c r="A29" t="s">
        <v>19</v>
      </c>
      <c r="B29" t="s">
        <v>15</v>
      </c>
      <c r="C29" t="s">
        <v>12</v>
      </c>
      <c r="D29">
        <v>2731</v>
      </c>
      <c r="E29">
        <v>409</v>
      </c>
      <c r="F29">
        <v>2449</v>
      </c>
      <c r="G29">
        <v>674</v>
      </c>
      <c r="H29">
        <v>0.1497619919</v>
      </c>
      <c r="I29">
        <v>0.27521437319999997</v>
      </c>
      <c r="J29">
        <v>83.767836979999998</v>
      </c>
    </row>
    <row r="30" spans="1:10" x14ac:dyDescent="0.2">
      <c r="A30" t="s">
        <v>19</v>
      </c>
      <c r="B30" t="s">
        <v>15</v>
      </c>
      <c r="C30" t="s">
        <v>13</v>
      </c>
      <c r="D30">
        <v>2683</v>
      </c>
      <c r="E30">
        <v>402</v>
      </c>
      <c r="F30">
        <v>1725</v>
      </c>
      <c r="G30">
        <v>459</v>
      </c>
      <c r="H30">
        <v>0.14983227730000001</v>
      </c>
      <c r="I30">
        <v>0.26608695650000003</v>
      </c>
      <c r="J30">
        <v>77.589876700000005</v>
      </c>
    </row>
    <row r="31" spans="1:10" x14ac:dyDescent="0.2">
      <c r="A31" t="s">
        <v>19</v>
      </c>
      <c r="B31" t="s">
        <v>15</v>
      </c>
      <c r="C31" t="s">
        <v>14</v>
      </c>
      <c r="D31">
        <v>1582</v>
      </c>
      <c r="E31">
        <v>237</v>
      </c>
      <c r="F31">
        <v>2608</v>
      </c>
      <c r="G31">
        <v>413</v>
      </c>
      <c r="H31">
        <v>0.14981036659999999</v>
      </c>
      <c r="I31">
        <v>0.1583588957</v>
      </c>
      <c r="J31">
        <v>5.7062333360000004</v>
      </c>
    </row>
    <row r="32" spans="1:10" x14ac:dyDescent="0.2">
      <c r="A32" t="s">
        <v>19</v>
      </c>
      <c r="B32" t="s">
        <v>16</v>
      </c>
      <c r="C32" t="s">
        <v>12</v>
      </c>
      <c r="D32">
        <v>2734</v>
      </c>
      <c r="E32">
        <v>410</v>
      </c>
      <c r="F32">
        <v>2787</v>
      </c>
      <c r="G32">
        <v>766</v>
      </c>
      <c r="H32">
        <v>0.14996342360000001</v>
      </c>
      <c r="I32">
        <v>0.27484750629999999</v>
      </c>
      <c r="J32">
        <v>83.276361499999993</v>
      </c>
    </row>
    <row r="33" spans="1:10" x14ac:dyDescent="0.2">
      <c r="A33" t="s">
        <v>19</v>
      </c>
      <c r="B33" t="s">
        <v>16</v>
      </c>
      <c r="C33" t="s">
        <v>13</v>
      </c>
      <c r="D33">
        <v>2160</v>
      </c>
      <c r="E33">
        <v>324</v>
      </c>
      <c r="F33">
        <v>1767</v>
      </c>
      <c r="G33">
        <v>535</v>
      </c>
      <c r="H33">
        <v>0.15</v>
      </c>
      <c r="I33">
        <v>0.30277306170000001</v>
      </c>
      <c r="J33">
        <v>101.8487078</v>
      </c>
    </row>
    <row r="34" spans="1:10" x14ac:dyDescent="0.2">
      <c r="A34" t="s">
        <v>19</v>
      </c>
      <c r="B34" t="s">
        <v>16</v>
      </c>
      <c r="C34" t="s">
        <v>14</v>
      </c>
      <c r="D34">
        <v>1185</v>
      </c>
      <c r="E34">
        <v>177</v>
      </c>
      <c r="F34">
        <v>2637</v>
      </c>
      <c r="G34">
        <v>483</v>
      </c>
      <c r="H34">
        <v>0.1493670886</v>
      </c>
      <c r="I34">
        <v>0.18316268490000001</v>
      </c>
      <c r="J34">
        <v>22.62586529</v>
      </c>
    </row>
    <row r="35" spans="1:10" x14ac:dyDescent="0.2">
      <c r="A35" t="s">
        <v>19</v>
      </c>
      <c r="B35" t="s">
        <v>17</v>
      </c>
      <c r="C35" t="s">
        <v>12</v>
      </c>
      <c r="D35">
        <v>1970</v>
      </c>
      <c r="E35">
        <v>295</v>
      </c>
      <c r="F35">
        <v>2804</v>
      </c>
      <c r="G35">
        <v>713</v>
      </c>
      <c r="H35">
        <v>0.14974619289999999</v>
      </c>
      <c r="I35">
        <v>0.25427960059999999</v>
      </c>
      <c r="J35">
        <v>69.807055300000002</v>
      </c>
    </row>
    <row r="36" spans="1:10" x14ac:dyDescent="0.2">
      <c r="A36" t="s">
        <v>19</v>
      </c>
      <c r="B36" t="s">
        <v>17</v>
      </c>
      <c r="C36" t="s">
        <v>13</v>
      </c>
      <c r="D36">
        <v>1884</v>
      </c>
      <c r="E36">
        <v>282</v>
      </c>
      <c r="F36">
        <v>2226</v>
      </c>
      <c r="G36">
        <v>678</v>
      </c>
      <c r="H36">
        <v>0.14968152870000001</v>
      </c>
      <c r="I36">
        <v>0.30458221019999998</v>
      </c>
      <c r="J36">
        <v>103.4868383</v>
      </c>
    </row>
    <row r="37" spans="1:10" x14ac:dyDescent="0.2">
      <c r="A37" t="s">
        <v>19</v>
      </c>
      <c r="B37" t="s">
        <v>17</v>
      </c>
      <c r="C37" t="s">
        <v>14</v>
      </c>
      <c r="D37">
        <v>2113</v>
      </c>
      <c r="E37">
        <v>316</v>
      </c>
      <c r="F37">
        <v>1930</v>
      </c>
      <c r="G37">
        <v>354</v>
      </c>
      <c r="H37">
        <v>0.1495504023</v>
      </c>
      <c r="I37">
        <v>0.18341968910000001</v>
      </c>
      <c r="J37">
        <v>22.647406050000001</v>
      </c>
    </row>
    <row r="38" spans="1:10" x14ac:dyDescent="0.2">
      <c r="A38" t="s">
        <v>20</v>
      </c>
      <c r="B38" t="s">
        <v>11</v>
      </c>
      <c r="C38" t="s">
        <v>12</v>
      </c>
      <c r="D38">
        <v>2275</v>
      </c>
      <c r="E38">
        <v>341</v>
      </c>
      <c r="F38">
        <v>1104</v>
      </c>
      <c r="G38">
        <v>307</v>
      </c>
      <c r="H38">
        <v>0.14989010990000001</v>
      </c>
      <c r="I38">
        <v>0.27807971009999999</v>
      </c>
      <c r="J38">
        <v>85.522387269999996</v>
      </c>
    </row>
    <row r="39" spans="1:10" x14ac:dyDescent="0.2">
      <c r="A39" t="s">
        <v>20</v>
      </c>
      <c r="B39" t="s">
        <v>11</v>
      </c>
      <c r="C39" t="s">
        <v>13</v>
      </c>
      <c r="D39">
        <v>2571</v>
      </c>
      <c r="E39">
        <v>385</v>
      </c>
      <c r="F39">
        <v>2228</v>
      </c>
      <c r="G39">
        <v>612</v>
      </c>
      <c r="H39">
        <v>0.14974718009999999</v>
      </c>
      <c r="I39">
        <v>0.27468581689999999</v>
      </c>
      <c r="J39">
        <v>83.433048099999993</v>
      </c>
    </row>
    <row r="40" spans="1:10" x14ac:dyDescent="0.2">
      <c r="A40" t="s">
        <v>20</v>
      </c>
      <c r="B40" t="s">
        <v>11</v>
      </c>
      <c r="C40" t="s">
        <v>14</v>
      </c>
      <c r="D40">
        <v>1111</v>
      </c>
      <c r="E40">
        <v>166</v>
      </c>
      <c r="F40">
        <v>2403</v>
      </c>
      <c r="G40">
        <v>382</v>
      </c>
      <c r="H40">
        <v>0.14941494150000001</v>
      </c>
      <c r="I40">
        <v>0.1589679567</v>
      </c>
      <c r="J40">
        <v>6.3936144080000004</v>
      </c>
    </row>
    <row r="41" spans="1:10" x14ac:dyDescent="0.2">
      <c r="A41" t="s">
        <v>20</v>
      </c>
      <c r="B41" t="s">
        <v>15</v>
      </c>
      <c r="C41" t="s">
        <v>12</v>
      </c>
      <c r="D41">
        <v>1046</v>
      </c>
      <c r="E41">
        <v>156</v>
      </c>
      <c r="F41">
        <v>2635</v>
      </c>
      <c r="G41">
        <v>742</v>
      </c>
      <c r="H41">
        <v>0.14913957929999999</v>
      </c>
      <c r="I41">
        <v>0.28159392789999999</v>
      </c>
      <c r="J41">
        <v>88.812338830000002</v>
      </c>
    </row>
    <row r="42" spans="1:10" x14ac:dyDescent="0.2">
      <c r="A42" t="s">
        <v>20</v>
      </c>
      <c r="B42" t="s">
        <v>15</v>
      </c>
      <c r="C42" t="s">
        <v>13</v>
      </c>
      <c r="D42">
        <v>1746</v>
      </c>
      <c r="E42">
        <v>261</v>
      </c>
      <c r="F42">
        <v>2788</v>
      </c>
      <c r="G42">
        <v>774</v>
      </c>
      <c r="H42">
        <v>0.14948453610000001</v>
      </c>
      <c r="I42">
        <v>0.27761836439999998</v>
      </c>
      <c r="J42">
        <v>85.717112749999998</v>
      </c>
    </row>
    <row r="43" spans="1:10" x14ac:dyDescent="0.2">
      <c r="A43" t="s">
        <v>20</v>
      </c>
      <c r="B43" t="s">
        <v>15</v>
      </c>
      <c r="C43" t="s">
        <v>14</v>
      </c>
      <c r="D43">
        <v>1892</v>
      </c>
      <c r="E43">
        <v>283</v>
      </c>
      <c r="F43">
        <v>2848</v>
      </c>
      <c r="G43">
        <v>458</v>
      </c>
      <c r="H43">
        <v>0.14957716700000001</v>
      </c>
      <c r="I43">
        <v>0.1608146067</v>
      </c>
      <c r="J43">
        <v>7.5128042239999999</v>
      </c>
    </row>
    <row r="44" spans="1:10" x14ac:dyDescent="0.2">
      <c r="A44" t="s">
        <v>20</v>
      </c>
      <c r="B44" t="s">
        <v>16</v>
      </c>
      <c r="C44" t="s">
        <v>12</v>
      </c>
      <c r="D44">
        <v>2206</v>
      </c>
      <c r="E44">
        <v>330</v>
      </c>
      <c r="F44">
        <v>2547</v>
      </c>
      <c r="G44">
        <v>777</v>
      </c>
      <c r="H44">
        <v>0.1495920218</v>
      </c>
      <c r="I44">
        <v>0.30506478209999999</v>
      </c>
      <c r="J44">
        <v>103.93118459999999</v>
      </c>
    </row>
    <row r="45" spans="1:10" x14ac:dyDescent="0.2">
      <c r="A45" t="s">
        <v>20</v>
      </c>
      <c r="B45" t="s">
        <v>16</v>
      </c>
      <c r="C45" t="s">
        <v>13</v>
      </c>
      <c r="D45">
        <v>2104</v>
      </c>
      <c r="E45">
        <v>315</v>
      </c>
      <c r="F45">
        <v>1712</v>
      </c>
      <c r="G45">
        <v>437</v>
      </c>
      <c r="H45">
        <v>0.14971482890000001</v>
      </c>
      <c r="I45">
        <v>0.2552570093</v>
      </c>
      <c r="J45">
        <v>70.495475450000001</v>
      </c>
    </row>
    <row r="46" spans="1:10" x14ac:dyDescent="0.2">
      <c r="A46" t="s">
        <v>20</v>
      </c>
      <c r="B46" t="s">
        <v>16</v>
      </c>
      <c r="C46" t="s">
        <v>14</v>
      </c>
      <c r="D46">
        <v>1968</v>
      </c>
      <c r="E46">
        <v>295</v>
      </c>
      <c r="F46">
        <v>1136</v>
      </c>
      <c r="G46">
        <v>202</v>
      </c>
      <c r="H46">
        <v>0.149898374</v>
      </c>
      <c r="I46">
        <v>0.1778169014</v>
      </c>
      <c r="J46">
        <v>18.62497016</v>
      </c>
    </row>
    <row r="47" spans="1:10" x14ac:dyDescent="0.2">
      <c r="A47" t="s">
        <v>20</v>
      </c>
      <c r="B47" t="s">
        <v>17</v>
      </c>
      <c r="C47" t="s">
        <v>12</v>
      </c>
      <c r="D47">
        <v>1137</v>
      </c>
      <c r="E47">
        <v>170</v>
      </c>
      <c r="F47">
        <v>1213</v>
      </c>
      <c r="G47">
        <v>315</v>
      </c>
      <c r="H47">
        <v>0.1495162709</v>
      </c>
      <c r="I47">
        <v>0.25968672710000001</v>
      </c>
      <c r="J47">
        <v>73.684593379999995</v>
      </c>
    </row>
    <row r="48" spans="1:10" x14ac:dyDescent="0.2">
      <c r="A48" t="s">
        <v>20</v>
      </c>
      <c r="B48" t="s">
        <v>17</v>
      </c>
      <c r="C48" t="s">
        <v>13</v>
      </c>
      <c r="D48">
        <v>1970</v>
      </c>
      <c r="E48">
        <v>295</v>
      </c>
      <c r="F48">
        <v>2405</v>
      </c>
      <c r="G48">
        <v>622</v>
      </c>
      <c r="H48">
        <v>0.14974619289999999</v>
      </c>
      <c r="I48">
        <v>0.25862785859999998</v>
      </c>
      <c r="J48">
        <v>72.710807290000005</v>
      </c>
    </row>
    <row r="49" spans="1:10" x14ac:dyDescent="0.2">
      <c r="A49" t="s">
        <v>20</v>
      </c>
      <c r="B49" t="s">
        <v>17</v>
      </c>
      <c r="C49" t="s">
        <v>14</v>
      </c>
      <c r="D49">
        <v>2247</v>
      </c>
      <c r="E49">
        <v>337</v>
      </c>
      <c r="F49">
        <v>1321</v>
      </c>
      <c r="G49">
        <v>236</v>
      </c>
      <c r="H49">
        <v>0.1499777481</v>
      </c>
      <c r="I49">
        <v>0.178652536</v>
      </c>
      <c r="J49">
        <v>19.119361510000001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9"/>
  <sheetViews>
    <sheetView tabSelected="1" topLeftCell="U1" workbookViewId="0">
      <selection activeCell="AD24" sqref="AD24"/>
    </sheetView>
  </sheetViews>
  <sheetFormatPr baseColWidth="10" defaultRowHeight="16" x14ac:dyDescent="0.2"/>
  <cols>
    <col min="1" max="1" width="15.33203125" bestFit="1" customWidth="1"/>
    <col min="2" max="2" width="7" bestFit="1" customWidth="1"/>
    <col min="3" max="3" width="8.1640625" bestFit="1" customWidth="1"/>
    <col min="4" max="4" width="16.83203125" bestFit="1" customWidth="1"/>
    <col min="5" max="5" width="19.33203125" bestFit="1" customWidth="1"/>
    <col min="6" max="6" width="17.6640625" bestFit="1" customWidth="1"/>
    <col min="7" max="7" width="20.1640625" bestFit="1" customWidth="1"/>
    <col min="8" max="8" width="12.1640625" bestFit="1" customWidth="1"/>
    <col min="9" max="9" width="12.6640625" bestFit="1" customWidth="1"/>
    <col min="10" max="10" width="15" bestFit="1" customWidth="1"/>
    <col min="11" max="11" width="12.1640625" bestFit="1" customWidth="1"/>
    <col min="12" max="12" width="18.6640625" bestFit="1" customWidth="1"/>
    <col min="13" max="13" width="17" bestFit="1" customWidth="1"/>
    <col min="14" max="14" width="23.6640625" bestFit="1" customWidth="1"/>
    <col min="15" max="15" width="13.83203125" bestFit="1" customWidth="1"/>
    <col min="16" max="16" width="12.83203125" customWidth="1"/>
    <col min="18" max="18" width="13.5" bestFit="1" customWidth="1"/>
    <col min="19" max="19" width="13.1640625" bestFit="1" customWidth="1"/>
    <col min="20" max="20" width="16.83203125" style="1" bestFit="1" customWidth="1"/>
    <col min="21" max="21" width="25" bestFit="1" customWidth="1"/>
    <col min="22" max="22" width="27.5" bestFit="1" customWidth="1"/>
    <col min="23" max="23" width="13.33203125" bestFit="1" customWidth="1"/>
    <col min="24" max="24" width="21.83203125" bestFit="1" customWidth="1"/>
    <col min="25" max="25" width="23.5" bestFit="1" customWidth="1"/>
    <col min="26" max="26" width="12.1640625" bestFit="1" customWidth="1"/>
    <col min="27" max="27" width="15.33203125" bestFit="1" customWidth="1"/>
    <col min="28" max="28" width="28.33203125" bestFit="1" customWidth="1"/>
    <col min="29" max="29" width="34.33203125" bestFit="1" customWidth="1"/>
    <col min="30" max="30" width="33.33203125" bestFit="1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23</v>
      </c>
      <c r="K1" s="1" t="s">
        <v>21</v>
      </c>
      <c r="L1" s="1" t="s">
        <v>22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AA1" s="8" t="s">
        <v>31</v>
      </c>
      <c r="AB1" t="s">
        <v>40</v>
      </c>
    </row>
    <row r="2" spans="1:30" x14ac:dyDescent="0.2">
      <c r="A2" t="s">
        <v>20</v>
      </c>
      <c r="B2" t="s">
        <v>16</v>
      </c>
      <c r="C2" t="s">
        <v>12</v>
      </c>
      <c r="D2">
        <v>2206</v>
      </c>
      <c r="E2">
        <v>330</v>
      </c>
      <c r="F2">
        <v>2547</v>
      </c>
      <c r="G2">
        <v>777</v>
      </c>
      <c r="H2">
        <v>0.1495920218</v>
      </c>
      <c r="I2">
        <v>0.30506478209999999</v>
      </c>
      <c r="J2" s="2">
        <v>103.93118459999999</v>
      </c>
      <c r="K2" s="5">
        <f t="shared" ref="K2:K48" si="0">I2-H2</f>
        <v>0.15547276029999998</v>
      </c>
      <c r="L2">
        <f t="shared" ref="L2:L49" si="1">(E2+G2)/(D2+F2)</f>
        <v>0.23290553334735956</v>
      </c>
      <c r="M2">
        <f t="shared" ref="M2:M49" si="2">SQRT(L2*(1-L2)*(1/D2)+(1/F2))</f>
        <v>2.1762518893570226E-2</v>
      </c>
      <c r="N2">
        <v>1.96</v>
      </c>
      <c r="O2">
        <f t="shared" ref="O2:O48" si="3">N2*M2</f>
        <v>4.2654537031397641E-2</v>
      </c>
      <c r="P2">
        <f t="shared" ref="P2:P49" si="4">K2-O2</f>
        <v>0.11281822326860234</v>
      </c>
      <c r="Q2">
        <f t="shared" ref="Q2:Q49" si="5">K2+O2</f>
        <v>0.19812729733139761</v>
      </c>
      <c r="R2">
        <f t="shared" ref="R2:R49" si="6">K2/M2</f>
        <v>7.1440608993995944</v>
      </c>
      <c r="S2">
        <f t="shared" ref="S2:S48" si="7">2*(1-_xlfn.NORM.S.DIST(ABS(R2),TRUE))</f>
        <v>9.0616403269905277E-13</v>
      </c>
      <c r="T2" s="1" t="str">
        <f t="shared" ref="T2:T48" si="8">IF(S2&lt;0.05,"Significant","Not Significant")</f>
        <v>Significant</v>
      </c>
      <c r="U2" t="str">
        <f t="shared" ref="U2:U49" si="9">TRIM(A2)&amp;TRIM(B2)&amp;TRIM(C2)</f>
        <v>BackToSchool_24SAYouTube</v>
      </c>
      <c r="V2" s="7" cm="1">
        <f t="array" ref="V2:V49">VLOOKUP(U2:U49,'[1]Historic Campaign Data_Result'!$A$2:$J$1665,7,FALSE)</f>
        <v>14624</v>
      </c>
      <c r="W2" s="4" cm="1">
        <f t="array" ref="W2:W49">VLOOKUP(U2:U49,'[1]Historic Campaign Data_Result'!$A$2:$J$1665,9,FALSE)</f>
        <v>316136</v>
      </c>
      <c r="X2" s="2">
        <f t="shared" ref="X2:X49" si="10">IF(T2="Significant",W2*K2,0)</f>
        <v>49150.536550200792</v>
      </c>
      <c r="Y2" s="6">
        <f t="shared" ref="Y2:Y49" si="11">IF(X2&gt;0,V2/X2, "Inconclusive")</f>
        <v>0.29753490045960157</v>
      </c>
    </row>
    <row r="3" spans="1:30" x14ac:dyDescent="0.2">
      <c r="A3" t="s">
        <v>19</v>
      </c>
      <c r="B3" t="s">
        <v>17</v>
      </c>
      <c r="C3" t="s">
        <v>13</v>
      </c>
      <c r="D3">
        <v>1884</v>
      </c>
      <c r="E3">
        <v>282</v>
      </c>
      <c r="F3">
        <v>2226</v>
      </c>
      <c r="G3">
        <v>678</v>
      </c>
      <c r="H3">
        <v>0.14968152870000001</v>
      </c>
      <c r="I3">
        <v>0.30458221019999998</v>
      </c>
      <c r="J3" s="2">
        <v>103.4868383</v>
      </c>
      <c r="K3" s="5">
        <f t="shared" si="0"/>
        <v>0.15490068149999997</v>
      </c>
      <c r="L3">
        <f t="shared" si="1"/>
        <v>0.23357664233576642</v>
      </c>
      <c r="M3">
        <f t="shared" si="2"/>
        <v>2.3329311684905697E-2</v>
      </c>
      <c r="N3">
        <v>1.96</v>
      </c>
      <c r="O3">
        <f t="shared" si="3"/>
        <v>4.5725450902415164E-2</v>
      </c>
      <c r="P3">
        <f t="shared" si="4"/>
        <v>0.1091752305975848</v>
      </c>
      <c r="Q3">
        <f t="shared" si="5"/>
        <v>0.20062613240241514</v>
      </c>
      <c r="R3">
        <f t="shared" si="6"/>
        <v>6.6397450380082281</v>
      </c>
      <c r="S3">
        <f t="shared" si="7"/>
        <v>3.1422642265965806E-11</v>
      </c>
      <c r="T3" s="1" t="str">
        <f t="shared" si="8"/>
        <v>Significant</v>
      </c>
      <c r="U3" t="str">
        <f t="shared" si="9"/>
        <v>NewYear_24EGSocial</v>
      </c>
      <c r="V3" s="7">
        <v>10973</v>
      </c>
      <c r="W3" s="4">
        <v>365377</v>
      </c>
      <c r="X3" s="2">
        <f t="shared" si="10"/>
        <v>56597.146304425492</v>
      </c>
      <c r="Y3" s="6">
        <f t="shared" si="11"/>
        <v>0.19387903306958765</v>
      </c>
      <c r="AA3" s="8" t="s">
        <v>37</v>
      </c>
      <c r="AB3" t="s">
        <v>39</v>
      </c>
      <c r="AC3" t="s">
        <v>38</v>
      </c>
      <c r="AD3" t="s">
        <v>41</v>
      </c>
    </row>
    <row r="4" spans="1:30" x14ac:dyDescent="0.2">
      <c r="A4" t="s">
        <v>10</v>
      </c>
      <c r="B4" t="s">
        <v>11</v>
      </c>
      <c r="C4" t="s">
        <v>14</v>
      </c>
      <c r="D4">
        <v>1741</v>
      </c>
      <c r="E4">
        <v>261</v>
      </c>
      <c r="F4">
        <v>1348</v>
      </c>
      <c r="G4">
        <v>215</v>
      </c>
      <c r="H4">
        <v>0.14991384260000001</v>
      </c>
      <c r="I4">
        <v>0.15949554899999999</v>
      </c>
      <c r="J4" s="2">
        <v>6.3914753800000002</v>
      </c>
      <c r="K4">
        <f t="shared" si="0"/>
        <v>9.581706399999973E-3</v>
      </c>
      <c r="L4">
        <f t="shared" si="1"/>
        <v>0.15409517643250242</v>
      </c>
      <c r="M4">
        <f t="shared" si="2"/>
        <v>2.8578146233173063E-2</v>
      </c>
      <c r="N4">
        <v>1.96</v>
      </c>
      <c r="O4">
        <f t="shared" si="3"/>
        <v>5.6013166617019203E-2</v>
      </c>
      <c r="P4">
        <f t="shared" si="4"/>
        <v>-4.643146021701923E-2</v>
      </c>
      <c r="Q4">
        <f t="shared" si="5"/>
        <v>6.5594873017019176E-2</v>
      </c>
      <c r="R4">
        <f t="shared" si="6"/>
        <v>0.33528089337291161</v>
      </c>
      <c r="S4">
        <f t="shared" si="7"/>
        <v>0.73741320533831956</v>
      </c>
      <c r="T4" s="1" t="str">
        <f t="shared" si="8"/>
        <v>Not Significant</v>
      </c>
      <c r="U4" t="str">
        <f t="shared" si="9"/>
        <v>BackToSchool_23UKDisplay</v>
      </c>
      <c r="V4" s="4">
        <v>14304</v>
      </c>
      <c r="W4" s="4">
        <v>919924</v>
      </c>
      <c r="X4" s="2">
        <f t="shared" si="10"/>
        <v>0</v>
      </c>
      <c r="Y4" s="3" t="str">
        <f t="shared" si="11"/>
        <v>Inconclusive</v>
      </c>
      <c r="AA4" s="9" t="s">
        <v>18</v>
      </c>
      <c r="AB4" s="12">
        <v>518996.46322414419</v>
      </c>
      <c r="AC4" s="11">
        <v>135356</v>
      </c>
      <c r="AD4" s="10">
        <v>0.27049313343664999</v>
      </c>
    </row>
    <row r="5" spans="1:30" x14ac:dyDescent="0.2">
      <c r="A5" t="s">
        <v>10</v>
      </c>
      <c r="B5" t="s">
        <v>16</v>
      </c>
      <c r="C5" t="s">
        <v>12</v>
      </c>
      <c r="D5">
        <v>2079</v>
      </c>
      <c r="E5">
        <v>311</v>
      </c>
      <c r="F5">
        <v>1611</v>
      </c>
      <c r="G5">
        <v>490</v>
      </c>
      <c r="H5">
        <v>0.1495911496</v>
      </c>
      <c r="I5">
        <v>0.30415890750000002</v>
      </c>
      <c r="J5" s="2">
        <v>103.32680670000001</v>
      </c>
      <c r="K5" s="5">
        <f t="shared" si="0"/>
        <v>0.15456775790000002</v>
      </c>
      <c r="L5">
        <f t="shared" si="1"/>
        <v>0.21707317073170732</v>
      </c>
      <c r="M5">
        <f t="shared" si="2"/>
        <v>2.6504332757472795E-2</v>
      </c>
      <c r="N5">
        <v>1.96</v>
      </c>
      <c r="O5">
        <f t="shared" si="3"/>
        <v>5.1948492204646673E-2</v>
      </c>
      <c r="P5">
        <f t="shared" si="4"/>
        <v>0.10261926569535335</v>
      </c>
      <c r="Q5">
        <f t="shared" si="5"/>
        <v>0.20651625010464669</v>
      </c>
      <c r="R5">
        <f t="shared" si="6"/>
        <v>5.8317920814822335</v>
      </c>
      <c r="S5">
        <f t="shared" si="7"/>
        <v>5.4835220808513441E-9</v>
      </c>
      <c r="T5" s="1" t="str">
        <f t="shared" si="8"/>
        <v>Significant</v>
      </c>
      <c r="U5" t="str">
        <f t="shared" si="9"/>
        <v>BackToSchool_23SAYouTube</v>
      </c>
      <c r="V5" s="7">
        <v>7807</v>
      </c>
      <c r="W5" s="4">
        <v>203157</v>
      </c>
      <c r="X5" s="2">
        <f t="shared" si="10"/>
        <v>31401.521991690304</v>
      </c>
      <c r="Y5" s="6">
        <f t="shared" si="11"/>
        <v>0.24861852244187221</v>
      </c>
      <c r="AA5" s="9" t="s">
        <v>20</v>
      </c>
      <c r="AB5" s="12">
        <v>472956.49506093044</v>
      </c>
      <c r="AC5" s="11">
        <v>135714</v>
      </c>
      <c r="AD5" s="10">
        <v>0.30800327141806932</v>
      </c>
    </row>
    <row r="6" spans="1:30" x14ac:dyDescent="0.2">
      <c r="A6" t="s">
        <v>10</v>
      </c>
      <c r="B6" t="s">
        <v>17</v>
      </c>
      <c r="C6" t="s">
        <v>12</v>
      </c>
      <c r="D6">
        <v>1842</v>
      </c>
      <c r="E6">
        <v>276</v>
      </c>
      <c r="F6">
        <v>1170</v>
      </c>
      <c r="G6">
        <v>355</v>
      </c>
      <c r="H6">
        <v>0.14983713360000001</v>
      </c>
      <c r="I6">
        <v>0.30341880339999999</v>
      </c>
      <c r="J6" s="2">
        <v>102.499071</v>
      </c>
      <c r="K6" s="5">
        <f t="shared" si="0"/>
        <v>0.15358166979999999</v>
      </c>
      <c r="L6">
        <f t="shared" si="1"/>
        <v>0.20949535192563082</v>
      </c>
      <c r="M6">
        <f t="shared" si="2"/>
        <v>3.0734458867736646E-2</v>
      </c>
      <c r="N6">
        <v>1.96</v>
      </c>
      <c r="O6">
        <f t="shared" si="3"/>
        <v>6.0239539380763825E-2</v>
      </c>
      <c r="P6">
        <f t="shared" si="4"/>
        <v>9.3342130419236169E-2</v>
      </c>
      <c r="Q6">
        <f t="shared" si="5"/>
        <v>0.2138212091807638</v>
      </c>
      <c r="R6">
        <f t="shared" si="6"/>
        <v>4.9970513702852806</v>
      </c>
      <c r="S6">
        <f t="shared" si="7"/>
        <v>5.8213565123921285E-7</v>
      </c>
      <c r="T6" s="1" t="str">
        <f t="shared" si="8"/>
        <v>Significant</v>
      </c>
      <c r="U6" t="str">
        <f t="shared" si="9"/>
        <v>BackToSchool_23EGYouTube</v>
      </c>
      <c r="V6" s="7">
        <v>11011</v>
      </c>
      <c r="W6" s="4">
        <v>334553</v>
      </c>
      <c r="X6" s="2">
        <f t="shared" si="10"/>
        <v>51381.208376599396</v>
      </c>
      <c r="Y6" s="6">
        <f t="shared" si="11"/>
        <v>0.2143001371103361</v>
      </c>
      <c r="AA6" s="9" t="s">
        <v>19</v>
      </c>
      <c r="AB6" s="12">
        <v>408955.43694490998</v>
      </c>
      <c r="AC6" s="11">
        <v>118015</v>
      </c>
      <c r="AD6" s="10">
        <v>0.29194487748560644</v>
      </c>
    </row>
    <row r="7" spans="1:30" x14ac:dyDescent="0.2">
      <c r="A7" t="s">
        <v>10</v>
      </c>
      <c r="B7" t="s">
        <v>15</v>
      </c>
      <c r="C7" t="s">
        <v>14</v>
      </c>
      <c r="D7">
        <v>2197</v>
      </c>
      <c r="E7">
        <v>329</v>
      </c>
      <c r="F7">
        <v>2286</v>
      </c>
      <c r="G7">
        <v>367</v>
      </c>
      <c r="H7">
        <v>0.1497496586</v>
      </c>
      <c r="I7">
        <v>0.1605424322</v>
      </c>
      <c r="J7" s="2">
        <v>7.2072108010000004</v>
      </c>
      <c r="K7">
        <f t="shared" si="0"/>
        <v>1.07927736E-2</v>
      </c>
      <c r="L7">
        <f t="shared" si="1"/>
        <v>0.15525317867499441</v>
      </c>
      <c r="M7">
        <f t="shared" si="2"/>
        <v>2.2296640761387532E-2</v>
      </c>
      <c r="N7">
        <v>1.96</v>
      </c>
      <c r="O7">
        <f t="shared" si="3"/>
        <v>4.3701415892319566E-2</v>
      </c>
      <c r="P7">
        <f t="shared" si="4"/>
        <v>-3.2908642292319566E-2</v>
      </c>
      <c r="Q7">
        <f t="shared" si="5"/>
        <v>5.4494189492319565E-2</v>
      </c>
      <c r="R7">
        <f t="shared" si="6"/>
        <v>0.48405379606288096</v>
      </c>
      <c r="S7">
        <f t="shared" si="7"/>
        <v>0.62834769079760533</v>
      </c>
      <c r="T7" s="1" t="str">
        <f t="shared" si="8"/>
        <v>Not Significant</v>
      </c>
      <c r="U7" t="str">
        <f t="shared" si="9"/>
        <v>BackToSchool_23DEDisplay</v>
      </c>
      <c r="V7" s="4">
        <v>12595</v>
      </c>
      <c r="W7" s="4">
        <v>626761</v>
      </c>
      <c r="X7" s="2">
        <f t="shared" si="10"/>
        <v>0</v>
      </c>
      <c r="Y7" s="3" t="str">
        <f t="shared" si="11"/>
        <v>Inconclusive</v>
      </c>
      <c r="AA7" s="9" t="s">
        <v>10</v>
      </c>
      <c r="AB7" s="12">
        <v>335749.23864361271</v>
      </c>
      <c r="AC7" s="11">
        <v>104551</v>
      </c>
      <c r="AD7" s="10">
        <v>0.31280570332125301</v>
      </c>
    </row>
    <row r="8" spans="1:30" x14ac:dyDescent="0.2">
      <c r="A8" t="s">
        <v>19</v>
      </c>
      <c r="B8" t="s">
        <v>16</v>
      </c>
      <c r="C8" t="s">
        <v>13</v>
      </c>
      <c r="D8">
        <v>2160</v>
      </c>
      <c r="E8">
        <v>324</v>
      </c>
      <c r="F8">
        <v>1767</v>
      </c>
      <c r="G8">
        <v>535</v>
      </c>
      <c r="H8">
        <v>0.15</v>
      </c>
      <c r="I8">
        <v>0.30277306170000001</v>
      </c>
      <c r="J8" s="2">
        <v>101.8487078</v>
      </c>
      <c r="K8" s="5">
        <f t="shared" si="0"/>
        <v>0.15277306170000002</v>
      </c>
      <c r="L8">
        <f t="shared" si="1"/>
        <v>0.21874204227145402</v>
      </c>
      <c r="M8">
        <f t="shared" si="2"/>
        <v>2.5397805634731471E-2</v>
      </c>
      <c r="N8">
        <v>1.96</v>
      </c>
      <c r="O8">
        <f t="shared" si="3"/>
        <v>4.9779699044073686E-2</v>
      </c>
      <c r="P8">
        <f t="shared" si="4"/>
        <v>0.10299336265592633</v>
      </c>
      <c r="Q8">
        <f t="shared" si="5"/>
        <v>0.20255276074407369</v>
      </c>
      <c r="R8">
        <f t="shared" si="6"/>
        <v>6.0152071362843653</v>
      </c>
      <c r="S8">
        <f t="shared" si="7"/>
        <v>1.7965682275189465E-9</v>
      </c>
      <c r="T8" s="1" t="str">
        <f t="shared" si="8"/>
        <v>Significant</v>
      </c>
      <c r="U8" t="str">
        <f t="shared" si="9"/>
        <v>NewYear_24SASocial</v>
      </c>
      <c r="V8" s="7">
        <v>10658</v>
      </c>
      <c r="W8" s="4">
        <v>285203</v>
      </c>
      <c r="X8" s="2">
        <f t="shared" si="10"/>
        <v>43571.335516025109</v>
      </c>
      <c r="Y8" s="6">
        <f t="shared" si="11"/>
        <v>0.2446103584793744</v>
      </c>
    </row>
    <row r="9" spans="1:30" x14ac:dyDescent="0.2">
      <c r="A9" t="s">
        <v>18</v>
      </c>
      <c r="B9" t="s">
        <v>17</v>
      </c>
      <c r="C9" t="s">
        <v>13</v>
      </c>
      <c r="D9">
        <v>1128</v>
      </c>
      <c r="E9">
        <v>169</v>
      </c>
      <c r="F9">
        <v>2920</v>
      </c>
      <c r="G9">
        <v>877</v>
      </c>
      <c r="H9">
        <v>0.14982269500000001</v>
      </c>
      <c r="I9">
        <v>0.30034246580000001</v>
      </c>
      <c r="J9" s="2">
        <v>100.46526710000001</v>
      </c>
      <c r="K9" s="5">
        <f t="shared" si="0"/>
        <v>0.15051977080000001</v>
      </c>
      <c r="L9">
        <f t="shared" si="1"/>
        <v>0.25839920948616601</v>
      </c>
      <c r="M9">
        <f t="shared" si="2"/>
        <v>2.2635142370035902E-2</v>
      </c>
      <c r="N9">
        <v>1.96</v>
      </c>
      <c r="O9">
        <f t="shared" si="3"/>
        <v>4.4364879045270367E-2</v>
      </c>
      <c r="P9">
        <f t="shared" si="4"/>
        <v>0.10615489175472964</v>
      </c>
      <c r="Q9">
        <f t="shared" si="5"/>
        <v>0.19488464984527037</v>
      </c>
      <c r="R9">
        <f t="shared" si="6"/>
        <v>6.6498265546257871</v>
      </c>
      <c r="S9">
        <f t="shared" si="7"/>
        <v>2.9343860674657662E-11</v>
      </c>
      <c r="T9" s="1" t="str">
        <f t="shared" si="8"/>
        <v>Significant</v>
      </c>
      <c r="U9" t="str">
        <f t="shared" si="9"/>
        <v>ExamPrep_23EGSocial</v>
      </c>
      <c r="V9" s="7">
        <v>16025</v>
      </c>
      <c r="W9" s="4">
        <v>501662</v>
      </c>
      <c r="X9" s="2">
        <f t="shared" si="10"/>
        <v>75510.049259069609</v>
      </c>
      <c r="Y9" s="6">
        <f t="shared" si="11"/>
        <v>0.21222340810584514</v>
      </c>
    </row>
    <row r="10" spans="1:30" x14ac:dyDescent="0.2">
      <c r="A10" t="s">
        <v>10</v>
      </c>
      <c r="B10" t="s">
        <v>16</v>
      </c>
      <c r="C10" t="s">
        <v>14</v>
      </c>
      <c r="D10">
        <v>1194</v>
      </c>
      <c r="E10">
        <v>179</v>
      </c>
      <c r="F10">
        <v>2360</v>
      </c>
      <c r="G10">
        <v>419</v>
      </c>
      <c r="H10">
        <v>0.14991624789999999</v>
      </c>
      <c r="I10">
        <v>0.1775423729</v>
      </c>
      <c r="J10" s="2">
        <v>18.427705710000001</v>
      </c>
      <c r="K10">
        <f t="shared" si="0"/>
        <v>2.7626125000000001E-2</v>
      </c>
      <c r="L10">
        <f t="shared" si="1"/>
        <v>0.16826111423747889</v>
      </c>
      <c r="M10">
        <f t="shared" si="2"/>
        <v>2.3258101649693243E-2</v>
      </c>
      <c r="N10">
        <v>1.96</v>
      </c>
      <c r="O10">
        <f t="shared" si="3"/>
        <v>4.5585879233398754E-2</v>
      </c>
      <c r="P10">
        <f t="shared" si="4"/>
        <v>-1.7959754233398753E-2</v>
      </c>
      <c r="Q10">
        <f t="shared" si="5"/>
        <v>7.3212004233398756E-2</v>
      </c>
      <c r="R10">
        <f t="shared" si="6"/>
        <v>1.1878065293589586</v>
      </c>
      <c r="S10">
        <f t="shared" si="7"/>
        <v>0.234909641393243</v>
      </c>
      <c r="T10" s="1" t="str">
        <f t="shared" si="8"/>
        <v>Not Significant</v>
      </c>
      <c r="U10" t="str">
        <f t="shared" si="9"/>
        <v>BackToSchool_23SADisplay</v>
      </c>
      <c r="V10" s="4">
        <v>10117</v>
      </c>
      <c r="W10" s="4">
        <v>630204</v>
      </c>
      <c r="X10" s="2">
        <f t="shared" si="10"/>
        <v>0</v>
      </c>
      <c r="Y10" s="3" t="str">
        <f t="shared" si="11"/>
        <v>Inconclusive</v>
      </c>
    </row>
    <row r="11" spans="1:30" x14ac:dyDescent="0.2">
      <c r="A11" t="s">
        <v>10</v>
      </c>
      <c r="B11" t="s">
        <v>16</v>
      </c>
      <c r="C11" t="s">
        <v>13</v>
      </c>
      <c r="D11">
        <v>2112</v>
      </c>
      <c r="E11">
        <v>316</v>
      </c>
      <c r="F11">
        <v>2842</v>
      </c>
      <c r="G11">
        <v>850</v>
      </c>
      <c r="H11">
        <v>0.14962121210000001</v>
      </c>
      <c r="I11">
        <v>0.29908515130000002</v>
      </c>
      <c r="J11" s="2">
        <v>99.894885930000001</v>
      </c>
      <c r="K11" s="5">
        <f t="shared" si="0"/>
        <v>0.14946393920000001</v>
      </c>
      <c r="L11">
        <f t="shared" si="1"/>
        <v>0.23536536132418248</v>
      </c>
      <c r="M11">
        <f t="shared" si="2"/>
        <v>2.0906392458602936E-2</v>
      </c>
      <c r="N11">
        <v>1.96</v>
      </c>
      <c r="O11">
        <f t="shared" si="3"/>
        <v>4.0976529218861753E-2</v>
      </c>
      <c r="P11">
        <f t="shared" si="4"/>
        <v>0.10848740998113826</v>
      </c>
      <c r="Q11">
        <f t="shared" si="5"/>
        <v>0.19044046841886175</v>
      </c>
      <c r="R11">
        <f t="shared" si="6"/>
        <v>7.1491980022835513</v>
      </c>
      <c r="S11">
        <f t="shared" si="7"/>
        <v>8.7285734196029807E-13</v>
      </c>
      <c r="T11" s="1" t="str">
        <f t="shared" si="8"/>
        <v>Significant</v>
      </c>
      <c r="U11" t="str">
        <f t="shared" si="9"/>
        <v>BackToSchool_23SASocial</v>
      </c>
      <c r="V11" s="7">
        <v>12054</v>
      </c>
      <c r="W11" s="4">
        <v>247821</v>
      </c>
      <c r="X11" s="2">
        <f t="shared" si="10"/>
        <v>37040.302876483205</v>
      </c>
      <c r="Y11" s="6">
        <f t="shared" si="11"/>
        <v>0.32542930440379997</v>
      </c>
    </row>
    <row r="12" spans="1:30" x14ac:dyDescent="0.2">
      <c r="A12" t="s">
        <v>18</v>
      </c>
      <c r="B12" t="s">
        <v>16</v>
      </c>
      <c r="C12" t="s">
        <v>12</v>
      </c>
      <c r="D12">
        <v>2956</v>
      </c>
      <c r="E12">
        <v>443</v>
      </c>
      <c r="F12">
        <v>1851</v>
      </c>
      <c r="G12">
        <v>552</v>
      </c>
      <c r="H12">
        <v>0.149864682</v>
      </c>
      <c r="I12">
        <v>0.29821717990000002</v>
      </c>
      <c r="J12" s="2">
        <v>98.990966999999998</v>
      </c>
      <c r="K12" s="5">
        <f t="shared" si="0"/>
        <v>0.14835249790000002</v>
      </c>
      <c r="L12">
        <f t="shared" si="1"/>
        <v>0.20698980653214064</v>
      </c>
      <c r="M12">
        <f t="shared" si="2"/>
        <v>2.4408563148082048E-2</v>
      </c>
      <c r="N12">
        <v>1.96</v>
      </c>
      <c r="O12">
        <f t="shared" si="3"/>
        <v>4.7840783770240813E-2</v>
      </c>
      <c r="P12">
        <f t="shared" si="4"/>
        <v>0.10051171412975921</v>
      </c>
      <c r="Q12">
        <f t="shared" si="5"/>
        <v>0.19619328167024083</v>
      </c>
      <c r="R12">
        <f t="shared" si="6"/>
        <v>6.0778873791125685</v>
      </c>
      <c r="S12">
        <f t="shared" si="7"/>
        <v>1.2177623354148182E-9</v>
      </c>
      <c r="T12" s="1" t="str">
        <f t="shared" si="8"/>
        <v>Significant</v>
      </c>
      <c r="U12" t="str">
        <f t="shared" si="9"/>
        <v>ExamPrep_23SAYouTube</v>
      </c>
      <c r="V12" s="7">
        <v>15144</v>
      </c>
      <c r="W12" s="4">
        <v>360438</v>
      </c>
      <c r="X12" s="2">
        <f t="shared" si="10"/>
        <v>53471.877638080208</v>
      </c>
      <c r="Y12" s="6">
        <f t="shared" si="11"/>
        <v>0.28321429261378961</v>
      </c>
    </row>
    <row r="13" spans="1:30" x14ac:dyDescent="0.2">
      <c r="A13" t="s">
        <v>10</v>
      </c>
      <c r="B13" t="s">
        <v>17</v>
      </c>
      <c r="C13" t="s">
        <v>14</v>
      </c>
      <c r="D13">
        <v>2249</v>
      </c>
      <c r="E13">
        <v>337</v>
      </c>
      <c r="F13">
        <v>1393</v>
      </c>
      <c r="G13">
        <v>256</v>
      </c>
      <c r="H13">
        <v>0.1498443753</v>
      </c>
      <c r="I13">
        <v>0.18377602300000001</v>
      </c>
      <c r="J13" s="2">
        <v>22.644592190000001</v>
      </c>
      <c r="K13">
        <f t="shared" si="0"/>
        <v>3.3931647700000012E-2</v>
      </c>
      <c r="L13">
        <f t="shared" si="1"/>
        <v>0.16282262493135641</v>
      </c>
      <c r="M13">
        <f t="shared" si="2"/>
        <v>2.7901341898706852E-2</v>
      </c>
      <c r="N13">
        <v>1.96</v>
      </c>
      <c r="O13">
        <f t="shared" si="3"/>
        <v>5.4686630121465428E-2</v>
      </c>
      <c r="P13">
        <f t="shared" si="4"/>
        <v>-2.0754982421465416E-2</v>
      </c>
      <c r="Q13">
        <f t="shared" si="5"/>
        <v>8.8618277821465447E-2</v>
      </c>
      <c r="R13">
        <f t="shared" si="6"/>
        <v>1.216129597751449</v>
      </c>
      <c r="S13">
        <f t="shared" si="7"/>
        <v>0.22393555722683445</v>
      </c>
      <c r="T13" s="1" t="str">
        <f t="shared" si="8"/>
        <v>Not Significant</v>
      </c>
      <c r="U13" t="str">
        <f t="shared" si="9"/>
        <v>BackToSchool_23EGDisplay</v>
      </c>
      <c r="V13" s="4">
        <v>8799</v>
      </c>
      <c r="W13" s="4">
        <v>519283</v>
      </c>
      <c r="X13" s="2">
        <f t="shared" si="10"/>
        <v>0</v>
      </c>
      <c r="Y13" s="3" t="str">
        <f t="shared" si="11"/>
        <v>Inconclusive</v>
      </c>
    </row>
    <row r="14" spans="1:30" x14ac:dyDescent="0.2">
      <c r="A14" t="s">
        <v>20</v>
      </c>
      <c r="B14" t="s">
        <v>15</v>
      </c>
      <c r="C14" t="s">
        <v>12</v>
      </c>
      <c r="D14">
        <v>1046</v>
      </c>
      <c r="E14">
        <v>156</v>
      </c>
      <c r="F14">
        <v>2635</v>
      </c>
      <c r="G14">
        <v>742</v>
      </c>
      <c r="H14">
        <v>0.14913957929999999</v>
      </c>
      <c r="I14">
        <v>0.28159392789999999</v>
      </c>
      <c r="J14" s="2">
        <v>88.812338830000002</v>
      </c>
      <c r="K14" s="5">
        <f t="shared" si="0"/>
        <v>0.13245434859999999</v>
      </c>
      <c r="L14">
        <f t="shared" si="1"/>
        <v>0.24395544688943221</v>
      </c>
      <c r="M14">
        <f t="shared" si="2"/>
        <v>2.3576188154334956E-2</v>
      </c>
      <c r="N14">
        <v>1.96</v>
      </c>
      <c r="O14">
        <f t="shared" si="3"/>
        <v>4.6209328782496513E-2</v>
      </c>
      <c r="P14">
        <f t="shared" si="4"/>
        <v>8.6245019817503488E-2</v>
      </c>
      <c r="Q14">
        <f t="shared" si="5"/>
        <v>0.1786636773824965</v>
      </c>
      <c r="R14">
        <f t="shared" si="6"/>
        <v>5.6181409705811838</v>
      </c>
      <c r="S14">
        <f t="shared" si="7"/>
        <v>1.9302298870371715E-8</v>
      </c>
      <c r="T14" s="1" t="str">
        <f t="shared" si="8"/>
        <v>Significant</v>
      </c>
      <c r="U14" t="str">
        <f t="shared" si="9"/>
        <v>BackToSchool_24DEYouTube</v>
      </c>
      <c r="V14" s="7">
        <v>24640</v>
      </c>
      <c r="W14" s="4">
        <v>775481</v>
      </c>
      <c r="X14" s="2">
        <f t="shared" si="10"/>
        <v>102715.8307066766</v>
      </c>
      <c r="Y14" s="6">
        <f t="shared" si="11"/>
        <v>0.23988512608503279</v>
      </c>
    </row>
    <row r="15" spans="1:30" x14ac:dyDescent="0.2">
      <c r="A15" t="s">
        <v>18</v>
      </c>
      <c r="B15" t="s">
        <v>11</v>
      </c>
      <c r="C15" t="s">
        <v>12</v>
      </c>
      <c r="D15">
        <v>1243</v>
      </c>
      <c r="E15">
        <v>186</v>
      </c>
      <c r="F15">
        <v>1352</v>
      </c>
      <c r="G15">
        <v>378</v>
      </c>
      <c r="H15">
        <v>0.1496379726</v>
      </c>
      <c r="I15">
        <v>0.27958579880000001</v>
      </c>
      <c r="J15" s="2">
        <v>86.841477380000001</v>
      </c>
      <c r="K15" s="5">
        <f t="shared" si="0"/>
        <v>0.12994782620000001</v>
      </c>
      <c r="L15">
        <f t="shared" si="1"/>
        <v>0.21734104046242775</v>
      </c>
      <c r="M15">
        <f t="shared" si="2"/>
        <v>2.9605649082853205E-2</v>
      </c>
      <c r="N15">
        <v>1.96</v>
      </c>
      <c r="O15">
        <f t="shared" si="3"/>
        <v>5.8027072202392282E-2</v>
      </c>
      <c r="P15">
        <f t="shared" si="4"/>
        <v>7.1920753997607723E-2</v>
      </c>
      <c r="Q15">
        <f t="shared" si="5"/>
        <v>0.18797489840239229</v>
      </c>
      <c r="R15">
        <f t="shared" si="6"/>
        <v>4.3892915786555848</v>
      </c>
      <c r="S15">
        <f t="shared" si="7"/>
        <v>1.1372050929825406E-5</v>
      </c>
      <c r="T15" s="1" t="str">
        <f t="shared" si="8"/>
        <v>Significant</v>
      </c>
      <c r="U15" t="str">
        <f t="shared" si="9"/>
        <v>ExamPrep_23UKYouTube</v>
      </c>
      <c r="V15" s="7">
        <v>17643</v>
      </c>
      <c r="W15" s="4">
        <v>575804</v>
      </c>
      <c r="X15" s="2">
        <f t="shared" si="10"/>
        <v>74824.478117264807</v>
      </c>
      <c r="Y15" s="6">
        <f t="shared" si="11"/>
        <v>0.23579182165961676</v>
      </c>
    </row>
    <row r="16" spans="1:30" x14ac:dyDescent="0.2">
      <c r="A16" t="s">
        <v>18</v>
      </c>
      <c r="B16" t="s">
        <v>11</v>
      </c>
      <c r="C16" t="s">
        <v>14</v>
      </c>
      <c r="D16">
        <v>2442</v>
      </c>
      <c r="E16">
        <v>366</v>
      </c>
      <c r="F16">
        <v>2730</v>
      </c>
      <c r="G16">
        <v>440</v>
      </c>
      <c r="H16">
        <v>0.14987714990000001</v>
      </c>
      <c r="I16">
        <v>0.1611721612</v>
      </c>
      <c r="J16" s="2">
        <v>7.5361796669999999</v>
      </c>
      <c r="K16">
        <f t="shared" si="0"/>
        <v>1.1295011299999991E-2</v>
      </c>
      <c r="L16">
        <f t="shared" si="1"/>
        <v>0.15583913379737047</v>
      </c>
      <c r="M16">
        <f t="shared" si="2"/>
        <v>2.0498085173352588E-2</v>
      </c>
      <c r="N16">
        <v>1.96</v>
      </c>
      <c r="O16">
        <f t="shared" si="3"/>
        <v>4.0176246939771072E-2</v>
      </c>
      <c r="P16">
        <f t="shared" si="4"/>
        <v>-2.8881235639771081E-2</v>
      </c>
      <c r="Q16">
        <f t="shared" si="5"/>
        <v>5.1471258239771063E-2</v>
      </c>
      <c r="R16">
        <f t="shared" si="6"/>
        <v>0.55102763036049096</v>
      </c>
      <c r="S16">
        <f t="shared" si="7"/>
        <v>0.58161473381479767</v>
      </c>
      <c r="T16" s="1" t="str">
        <f t="shared" si="8"/>
        <v>Not Significant</v>
      </c>
      <c r="U16" t="str">
        <f t="shared" si="9"/>
        <v>ExamPrep_23UKDisplay</v>
      </c>
      <c r="V16" s="4">
        <v>11784</v>
      </c>
      <c r="W16" s="4">
        <v>607661</v>
      </c>
      <c r="X16" s="2">
        <f t="shared" si="10"/>
        <v>0</v>
      </c>
      <c r="Y16" s="3" t="str">
        <f t="shared" si="11"/>
        <v>Inconclusive</v>
      </c>
    </row>
    <row r="17" spans="1:25" x14ac:dyDescent="0.2">
      <c r="A17" t="s">
        <v>20</v>
      </c>
      <c r="B17" t="s">
        <v>11</v>
      </c>
      <c r="C17" t="s">
        <v>12</v>
      </c>
      <c r="D17">
        <v>2275</v>
      </c>
      <c r="E17">
        <v>341</v>
      </c>
      <c r="F17">
        <v>1104</v>
      </c>
      <c r="G17">
        <v>307</v>
      </c>
      <c r="H17">
        <v>0.14989010990000001</v>
      </c>
      <c r="I17">
        <v>0.27807971009999999</v>
      </c>
      <c r="J17" s="2">
        <v>85.522387269999996</v>
      </c>
      <c r="K17" s="5">
        <f t="shared" si="0"/>
        <v>0.12818960019999998</v>
      </c>
      <c r="L17">
        <f t="shared" si="1"/>
        <v>0.191772713820657</v>
      </c>
      <c r="M17">
        <f t="shared" si="2"/>
        <v>3.1207806475138919E-2</v>
      </c>
      <c r="N17">
        <v>1.96</v>
      </c>
      <c r="O17">
        <f t="shared" si="3"/>
        <v>6.1167300691272283E-2</v>
      </c>
      <c r="P17">
        <f t="shared" si="4"/>
        <v>6.7022299508727692E-2</v>
      </c>
      <c r="Q17">
        <f t="shared" si="5"/>
        <v>0.18935690089127227</v>
      </c>
      <c r="R17">
        <f t="shared" si="6"/>
        <v>4.1076132762525202</v>
      </c>
      <c r="S17">
        <f t="shared" si="7"/>
        <v>3.9976872847180545E-5</v>
      </c>
      <c r="T17" s="1" t="str">
        <f t="shared" si="8"/>
        <v>Significant</v>
      </c>
      <c r="U17" t="str">
        <f t="shared" si="9"/>
        <v>BackToSchool_24UKYouTube</v>
      </c>
      <c r="V17" s="7">
        <v>21685</v>
      </c>
      <c r="W17" s="4">
        <v>636984</v>
      </c>
      <c r="X17" s="2">
        <f t="shared" si="10"/>
        <v>81654.724293796782</v>
      </c>
      <c r="Y17" s="6">
        <f t="shared" si="11"/>
        <v>0.26556944729831616</v>
      </c>
    </row>
    <row r="18" spans="1:25" x14ac:dyDescent="0.2">
      <c r="A18" t="s">
        <v>20</v>
      </c>
      <c r="B18" t="s">
        <v>15</v>
      </c>
      <c r="C18" t="s">
        <v>13</v>
      </c>
      <c r="D18">
        <v>1746</v>
      </c>
      <c r="E18">
        <v>261</v>
      </c>
      <c r="F18">
        <v>2788</v>
      </c>
      <c r="G18">
        <v>774</v>
      </c>
      <c r="H18">
        <v>0.14948453610000001</v>
      </c>
      <c r="I18">
        <v>0.27761836439999998</v>
      </c>
      <c r="J18" s="2">
        <v>85.717112749999998</v>
      </c>
      <c r="K18" s="5">
        <f t="shared" si="0"/>
        <v>0.12813382829999997</v>
      </c>
      <c r="L18">
        <f t="shared" si="1"/>
        <v>0.2282752536391707</v>
      </c>
      <c r="M18">
        <f t="shared" si="2"/>
        <v>2.1437741745416811E-2</v>
      </c>
      <c r="N18">
        <v>1.96</v>
      </c>
      <c r="O18">
        <f t="shared" si="3"/>
        <v>4.2017973821016949E-2</v>
      </c>
      <c r="P18">
        <f t="shared" si="4"/>
        <v>8.6115854478983025E-2</v>
      </c>
      <c r="Q18">
        <f t="shared" si="5"/>
        <v>0.17015180212101694</v>
      </c>
      <c r="R18">
        <f t="shared" si="6"/>
        <v>5.9770207991890656</v>
      </c>
      <c r="S18">
        <f t="shared" si="7"/>
        <v>2.2725519244204406E-9</v>
      </c>
      <c r="T18" s="1" t="str">
        <f t="shared" si="8"/>
        <v>Significant</v>
      </c>
      <c r="U18" t="str">
        <f t="shared" si="9"/>
        <v>BackToSchool_24DESocial</v>
      </c>
      <c r="V18" s="7">
        <v>21452</v>
      </c>
      <c r="W18" s="4">
        <v>665396</v>
      </c>
      <c r="X18" s="2">
        <f t="shared" si="10"/>
        <v>85259.736815506782</v>
      </c>
      <c r="Y18" s="6">
        <f t="shared" si="11"/>
        <v>0.25160762631041073</v>
      </c>
    </row>
    <row r="19" spans="1:25" x14ac:dyDescent="0.2">
      <c r="A19" t="s">
        <v>18</v>
      </c>
      <c r="B19" t="s">
        <v>15</v>
      </c>
      <c r="C19" t="s">
        <v>14</v>
      </c>
      <c r="D19">
        <v>1185</v>
      </c>
      <c r="E19">
        <v>177</v>
      </c>
      <c r="F19">
        <v>2587</v>
      </c>
      <c r="G19">
        <v>409</v>
      </c>
      <c r="H19">
        <v>0.1493670886</v>
      </c>
      <c r="I19">
        <v>0.15809818319999999</v>
      </c>
      <c r="J19" s="2">
        <v>5.845393853</v>
      </c>
      <c r="K19">
        <f t="shared" si="0"/>
        <v>8.7310945999999889E-3</v>
      </c>
      <c r="L19">
        <f t="shared" si="1"/>
        <v>0.15535524920466595</v>
      </c>
      <c r="M19">
        <f t="shared" si="2"/>
        <v>2.2299827328246917E-2</v>
      </c>
      <c r="N19">
        <v>1.96</v>
      </c>
      <c r="O19">
        <f t="shared" si="3"/>
        <v>4.3707661563363955E-2</v>
      </c>
      <c r="P19">
        <f t="shared" si="4"/>
        <v>-3.4976566963363966E-2</v>
      </c>
      <c r="Q19">
        <f t="shared" si="5"/>
        <v>5.2438756163363943E-2</v>
      </c>
      <c r="R19">
        <f t="shared" si="6"/>
        <v>0.39153193751148102</v>
      </c>
      <c r="S19">
        <f t="shared" si="7"/>
        <v>0.69540408628558326</v>
      </c>
      <c r="T19" s="1" t="str">
        <f t="shared" si="8"/>
        <v>Not Significant</v>
      </c>
      <c r="U19" t="str">
        <f t="shared" si="9"/>
        <v>ExamPrep_23DEDisplay</v>
      </c>
      <c r="V19" s="4">
        <v>12710</v>
      </c>
      <c r="W19" s="4">
        <v>652708</v>
      </c>
      <c r="X19" s="2">
        <f t="shared" si="10"/>
        <v>0</v>
      </c>
      <c r="Y19" s="3" t="str">
        <f t="shared" si="11"/>
        <v>Inconclusive</v>
      </c>
    </row>
    <row r="20" spans="1:25" x14ac:dyDescent="0.2">
      <c r="A20" t="s">
        <v>10</v>
      </c>
      <c r="B20" t="s">
        <v>17</v>
      </c>
      <c r="C20" t="s">
        <v>13</v>
      </c>
      <c r="D20">
        <v>2897</v>
      </c>
      <c r="E20">
        <v>434</v>
      </c>
      <c r="F20">
        <v>2840</v>
      </c>
      <c r="G20">
        <v>785</v>
      </c>
      <c r="H20">
        <v>0.14981014840000001</v>
      </c>
      <c r="I20">
        <v>0.27640845069999997</v>
      </c>
      <c r="J20" s="2">
        <v>84.505825270000003</v>
      </c>
      <c r="K20" s="5">
        <f t="shared" si="0"/>
        <v>0.12659830229999997</v>
      </c>
      <c r="L20">
        <f t="shared" si="1"/>
        <v>0.21248039044796932</v>
      </c>
      <c r="M20">
        <f t="shared" si="2"/>
        <v>2.0245327400482564E-2</v>
      </c>
      <c r="N20">
        <v>1.96</v>
      </c>
      <c r="O20">
        <f t="shared" si="3"/>
        <v>3.9680841704945825E-2</v>
      </c>
      <c r="P20">
        <f t="shared" si="4"/>
        <v>8.6917460595054147E-2</v>
      </c>
      <c r="Q20">
        <f t="shared" si="5"/>
        <v>0.16627914400494578</v>
      </c>
      <c r="R20">
        <f t="shared" si="6"/>
        <v>6.2532109160646314</v>
      </c>
      <c r="S20">
        <f t="shared" si="7"/>
        <v>4.0209857665729487E-10</v>
      </c>
      <c r="T20" s="1" t="str">
        <f t="shared" si="8"/>
        <v>Significant</v>
      </c>
      <c r="U20" t="str">
        <f t="shared" si="9"/>
        <v>BackToSchool_23EGSocial</v>
      </c>
      <c r="V20" s="7">
        <v>10433</v>
      </c>
      <c r="W20" s="4">
        <v>300593</v>
      </c>
      <c r="X20" s="2">
        <f t="shared" si="10"/>
        <v>38054.56348326389</v>
      </c>
      <c r="Y20" s="6">
        <f t="shared" si="11"/>
        <v>0.27415897188226468</v>
      </c>
    </row>
    <row r="21" spans="1:25" x14ac:dyDescent="0.2">
      <c r="A21" t="s">
        <v>18</v>
      </c>
      <c r="B21" t="s">
        <v>15</v>
      </c>
      <c r="C21" t="s">
        <v>13</v>
      </c>
      <c r="D21">
        <v>2175</v>
      </c>
      <c r="E21">
        <v>326</v>
      </c>
      <c r="F21">
        <v>1352</v>
      </c>
      <c r="G21">
        <v>373</v>
      </c>
      <c r="H21">
        <v>0.1498850575</v>
      </c>
      <c r="I21">
        <v>0.27588757400000002</v>
      </c>
      <c r="J21" s="2">
        <v>84.066096130000005</v>
      </c>
      <c r="K21" s="5">
        <f t="shared" si="0"/>
        <v>0.12600251650000002</v>
      </c>
      <c r="L21">
        <f t="shared" si="1"/>
        <v>0.19818542670825065</v>
      </c>
      <c r="M21">
        <f t="shared" si="2"/>
        <v>2.8508000683813744E-2</v>
      </c>
      <c r="N21">
        <v>1.96</v>
      </c>
      <c r="O21">
        <f t="shared" si="3"/>
        <v>5.5875681340274937E-2</v>
      </c>
      <c r="P21">
        <f t="shared" si="4"/>
        <v>7.0126835159725093E-2</v>
      </c>
      <c r="Q21">
        <f t="shared" si="5"/>
        <v>0.18187819784027495</v>
      </c>
      <c r="R21">
        <f t="shared" si="6"/>
        <v>4.4199001500495143</v>
      </c>
      <c r="S21">
        <f t="shared" si="7"/>
        <v>9.8746516326020384E-6</v>
      </c>
      <c r="T21" s="1" t="str">
        <f t="shared" si="8"/>
        <v>Significant</v>
      </c>
      <c r="U21" t="str">
        <f t="shared" si="9"/>
        <v>ExamPrep_23DESocial</v>
      </c>
      <c r="V21" s="7">
        <v>20559</v>
      </c>
      <c r="W21" s="4">
        <v>682609</v>
      </c>
      <c r="X21" s="2">
        <f t="shared" si="10"/>
        <v>86010.451785548517</v>
      </c>
      <c r="Y21" s="6">
        <f t="shared" si="11"/>
        <v>0.2390290897583022</v>
      </c>
    </row>
    <row r="22" spans="1:25" x14ac:dyDescent="0.2">
      <c r="A22" t="s">
        <v>18</v>
      </c>
      <c r="B22" t="s">
        <v>16</v>
      </c>
      <c r="C22" t="s">
        <v>14</v>
      </c>
      <c r="D22">
        <v>2837</v>
      </c>
      <c r="E22">
        <v>425</v>
      </c>
      <c r="F22">
        <v>2146</v>
      </c>
      <c r="G22">
        <v>388</v>
      </c>
      <c r="H22">
        <v>0.1498061332</v>
      </c>
      <c r="I22">
        <v>0.18080149109999999</v>
      </c>
      <c r="J22" s="2">
        <v>20.690313029999999</v>
      </c>
      <c r="K22">
        <f t="shared" si="0"/>
        <v>3.0995357899999992E-2</v>
      </c>
      <c r="L22">
        <f t="shared" si="1"/>
        <v>0.16315472606863335</v>
      </c>
      <c r="M22">
        <f t="shared" si="2"/>
        <v>2.2673990801710862E-2</v>
      </c>
      <c r="N22">
        <v>1.96</v>
      </c>
      <c r="O22">
        <f t="shared" si="3"/>
        <v>4.4441021971353287E-2</v>
      </c>
      <c r="P22">
        <f t="shared" si="4"/>
        <v>-1.3445664071353294E-2</v>
      </c>
      <c r="Q22">
        <f t="shared" si="5"/>
        <v>7.5436379871353279E-2</v>
      </c>
      <c r="R22">
        <f t="shared" si="6"/>
        <v>1.3670005501484654</v>
      </c>
      <c r="S22">
        <f t="shared" si="7"/>
        <v>0.17162513306966676</v>
      </c>
      <c r="T22" s="1" t="str">
        <f t="shared" si="8"/>
        <v>Not Significant</v>
      </c>
      <c r="U22" t="str">
        <f t="shared" si="9"/>
        <v>ExamPrep_23SADisplay</v>
      </c>
      <c r="V22" s="4">
        <v>7133</v>
      </c>
      <c r="W22" s="4">
        <v>375301</v>
      </c>
      <c r="X22" s="2">
        <f t="shared" si="10"/>
        <v>0</v>
      </c>
      <c r="Y22" s="3" t="str">
        <f t="shared" si="11"/>
        <v>Inconclusive</v>
      </c>
    </row>
    <row r="23" spans="1:25" x14ac:dyDescent="0.2">
      <c r="A23" t="s">
        <v>19</v>
      </c>
      <c r="B23" t="s">
        <v>15</v>
      </c>
      <c r="C23" t="s">
        <v>12</v>
      </c>
      <c r="D23">
        <v>2731</v>
      </c>
      <c r="E23">
        <v>409</v>
      </c>
      <c r="F23">
        <v>2449</v>
      </c>
      <c r="G23">
        <v>674</v>
      </c>
      <c r="H23">
        <v>0.1497619919</v>
      </c>
      <c r="I23">
        <v>0.27521437319999997</v>
      </c>
      <c r="J23" s="2">
        <v>83.767836979999998</v>
      </c>
      <c r="K23" s="5">
        <f t="shared" si="0"/>
        <v>0.12545238129999997</v>
      </c>
      <c r="L23">
        <f t="shared" si="1"/>
        <v>0.20907335907335908</v>
      </c>
      <c r="M23">
        <f t="shared" si="2"/>
        <v>2.1653632457795266E-2</v>
      </c>
      <c r="N23">
        <v>1.96</v>
      </c>
      <c r="O23">
        <f t="shared" si="3"/>
        <v>4.2441119617278721E-2</v>
      </c>
      <c r="P23">
        <f t="shared" si="4"/>
        <v>8.3011261682721244E-2</v>
      </c>
      <c r="Q23">
        <f t="shared" si="5"/>
        <v>0.1678935009172787</v>
      </c>
      <c r="R23">
        <f t="shared" si="6"/>
        <v>5.7935952106196096</v>
      </c>
      <c r="S23">
        <f t="shared" si="7"/>
        <v>6.8895398275259367E-9</v>
      </c>
      <c r="T23" s="1" t="str">
        <f t="shared" si="8"/>
        <v>Significant</v>
      </c>
      <c r="U23" t="str">
        <f t="shared" si="9"/>
        <v>NewYear_24DEYouTube</v>
      </c>
      <c r="V23" s="7">
        <v>17385</v>
      </c>
      <c r="W23" s="4">
        <v>463329</v>
      </c>
      <c r="X23" s="2">
        <f t="shared" si="10"/>
        <v>58125.726375347687</v>
      </c>
      <c r="Y23" s="6">
        <f t="shared" si="11"/>
        <v>0.29909303649361935</v>
      </c>
    </row>
    <row r="24" spans="1:25" x14ac:dyDescent="0.2">
      <c r="A24" t="s">
        <v>20</v>
      </c>
      <c r="B24" t="s">
        <v>11</v>
      </c>
      <c r="C24" t="s">
        <v>13</v>
      </c>
      <c r="D24">
        <v>2571</v>
      </c>
      <c r="E24">
        <v>385</v>
      </c>
      <c r="F24">
        <v>2228</v>
      </c>
      <c r="G24">
        <v>612</v>
      </c>
      <c r="H24">
        <v>0.14974718009999999</v>
      </c>
      <c r="I24">
        <v>0.27468581689999999</v>
      </c>
      <c r="J24" s="2">
        <v>83.433048099999993</v>
      </c>
      <c r="K24" s="5">
        <f t="shared" si="0"/>
        <v>0.1249386368</v>
      </c>
      <c r="L24">
        <f t="shared" si="1"/>
        <v>0.20775161491977495</v>
      </c>
      <c r="M24">
        <f t="shared" si="2"/>
        <v>2.2646219746637258E-2</v>
      </c>
      <c r="N24">
        <v>1.96</v>
      </c>
      <c r="O24">
        <f t="shared" si="3"/>
        <v>4.4386590703409022E-2</v>
      </c>
      <c r="P24">
        <f t="shared" si="4"/>
        <v>8.0552046096590973E-2</v>
      </c>
      <c r="Q24">
        <f t="shared" si="5"/>
        <v>0.16932522750340903</v>
      </c>
      <c r="R24">
        <f t="shared" si="6"/>
        <v>5.5169753803414441</v>
      </c>
      <c r="S24">
        <f t="shared" si="7"/>
        <v>3.4488372602226036E-8</v>
      </c>
      <c r="T24" s="1" t="str">
        <f t="shared" si="8"/>
        <v>Significant</v>
      </c>
      <c r="U24" t="str">
        <f t="shared" si="9"/>
        <v>BackToSchool_24UKSocial</v>
      </c>
      <c r="V24" s="7">
        <v>17061</v>
      </c>
      <c r="W24" s="4">
        <v>373457</v>
      </c>
      <c r="X24" s="2">
        <f t="shared" si="10"/>
        <v>46659.208483417598</v>
      </c>
      <c r="Y24" s="6">
        <f t="shared" si="11"/>
        <v>0.36565129487919573</v>
      </c>
    </row>
    <row r="25" spans="1:25" x14ac:dyDescent="0.2">
      <c r="A25" t="s">
        <v>18</v>
      </c>
      <c r="B25" t="s">
        <v>17</v>
      </c>
      <c r="C25" t="s">
        <v>14</v>
      </c>
      <c r="D25">
        <v>2485</v>
      </c>
      <c r="E25">
        <v>372</v>
      </c>
      <c r="F25">
        <v>1159</v>
      </c>
      <c r="G25">
        <v>213</v>
      </c>
      <c r="H25">
        <v>0.14969818909999999</v>
      </c>
      <c r="I25">
        <v>0.18377911990000001</v>
      </c>
      <c r="J25" s="2">
        <v>22.766428229999999</v>
      </c>
      <c r="K25">
        <f t="shared" si="0"/>
        <v>3.408093080000002E-2</v>
      </c>
      <c r="L25">
        <f t="shared" si="1"/>
        <v>0.16053787047200879</v>
      </c>
      <c r="M25">
        <f t="shared" si="2"/>
        <v>3.0282740036570006E-2</v>
      </c>
      <c r="N25">
        <v>1.96</v>
      </c>
      <c r="O25">
        <f t="shared" si="3"/>
        <v>5.9354170471677209E-2</v>
      </c>
      <c r="P25">
        <f t="shared" si="4"/>
        <v>-2.5273239671677189E-2</v>
      </c>
      <c r="Q25">
        <f t="shared" si="5"/>
        <v>9.3435101271677229E-2</v>
      </c>
      <c r="R25">
        <f t="shared" si="6"/>
        <v>1.1254242766289724</v>
      </c>
      <c r="S25">
        <f t="shared" si="7"/>
        <v>0.26040928856168954</v>
      </c>
      <c r="T25" s="1" t="str">
        <f t="shared" si="8"/>
        <v>Not Significant</v>
      </c>
      <c r="U25" t="str">
        <f t="shared" si="9"/>
        <v>ExamPrep_23EGDisplay</v>
      </c>
      <c r="V25" s="4">
        <v>10871</v>
      </c>
      <c r="W25" s="4">
        <v>653494</v>
      </c>
      <c r="X25" s="2">
        <f t="shared" si="10"/>
        <v>0</v>
      </c>
      <c r="Y25" s="3" t="str">
        <f t="shared" si="11"/>
        <v>Inconclusive</v>
      </c>
    </row>
    <row r="26" spans="1:25" x14ac:dyDescent="0.2">
      <c r="A26" t="s">
        <v>19</v>
      </c>
      <c r="B26" t="s">
        <v>16</v>
      </c>
      <c r="C26" t="s">
        <v>12</v>
      </c>
      <c r="D26">
        <v>2734</v>
      </c>
      <c r="E26">
        <v>410</v>
      </c>
      <c r="F26">
        <v>2787</v>
      </c>
      <c r="G26">
        <v>766</v>
      </c>
      <c r="H26">
        <v>0.14996342360000001</v>
      </c>
      <c r="I26">
        <v>0.27484750629999999</v>
      </c>
      <c r="J26" s="2">
        <v>83.276361499999993</v>
      </c>
      <c r="K26" s="5">
        <f t="shared" si="0"/>
        <v>0.12488408269999998</v>
      </c>
      <c r="L26">
        <f t="shared" si="1"/>
        <v>0.21300489041840245</v>
      </c>
      <c r="M26">
        <f t="shared" si="2"/>
        <v>2.0496908103272274E-2</v>
      </c>
      <c r="N26">
        <v>1.96</v>
      </c>
      <c r="O26">
        <f t="shared" si="3"/>
        <v>4.0173939882413655E-2</v>
      </c>
      <c r="P26">
        <f t="shared" si="4"/>
        <v>8.471014281758632E-2</v>
      </c>
      <c r="Q26">
        <f t="shared" si="5"/>
        <v>0.16505802258241364</v>
      </c>
      <c r="R26">
        <f t="shared" si="6"/>
        <v>6.0928254188768394</v>
      </c>
      <c r="S26">
        <f t="shared" si="7"/>
        <v>1.1093501672831962E-9</v>
      </c>
      <c r="T26" s="1" t="str">
        <f t="shared" si="8"/>
        <v>Significant</v>
      </c>
      <c r="U26" t="str">
        <f t="shared" si="9"/>
        <v>NewYear_24SAYouTube</v>
      </c>
      <c r="V26" s="7">
        <v>13675</v>
      </c>
      <c r="W26" s="4">
        <v>523081</v>
      </c>
      <c r="X26" s="2">
        <f t="shared" si="10"/>
        <v>65324.490862798688</v>
      </c>
      <c r="Y26" s="6">
        <f t="shared" si="11"/>
        <v>0.20933955732960341</v>
      </c>
    </row>
    <row r="27" spans="1:25" x14ac:dyDescent="0.2">
      <c r="A27" t="s">
        <v>18</v>
      </c>
      <c r="B27" t="s">
        <v>17</v>
      </c>
      <c r="C27" t="s">
        <v>12</v>
      </c>
      <c r="D27">
        <v>1246</v>
      </c>
      <c r="E27">
        <v>186</v>
      </c>
      <c r="F27">
        <v>1406</v>
      </c>
      <c r="G27">
        <v>385</v>
      </c>
      <c r="H27">
        <v>0.14927768860000001</v>
      </c>
      <c r="I27">
        <v>0.27382645799999999</v>
      </c>
      <c r="J27" s="2">
        <v>83.434283179999994</v>
      </c>
      <c r="K27" s="5">
        <f t="shared" si="0"/>
        <v>0.12454876939999998</v>
      </c>
      <c r="L27">
        <f t="shared" si="1"/>
        <v>0.21530920060331826</v>
      </c>
      <c r="M27">
        <f t="shared" si="2"/>
        <v>2.9100384460788012E-2</v>
      </c>
      <c r="N27">
        <v>1.96</v>
      </c>
      <c r="O27">
        <f t="shared" si="3"/>
        <v>5.7036753543144504E-2</v>
      </c>
      <c r="P27">
        <f t="shared" si="4"/>
        <v>6.7512015856855484E-2</v>
      </c>
      <c r="Q27">
        <f t="shared" si="5"/>
        <v>0.18158552294314448</v>
      </c>
      <c r="R27">
        <f t="shared" si="6"/>
        <v>4.279969894137519</v>
      </c>
      <c r="S27">
        <f t="shared" si="7"/>
        <v>1.8691859643205078E-5</v>
      </c>
      <c r="T27" s="1" t="str">
        <f t="shared" si="8"/>
        <v>Significant</v>
      </c>
      <c r="U27" t="str">
        <f t="shared" si="9"/>
        <v>ExamPrep_23EGYouTube</v>
      </c>
      <c r="V27" s="7">
        <v>9096</v>
      </c>
      <c r="W27" s="4">
        <v>310131</v>
      </c>
      <c r="X27" s="2">
        <f t="shared" si="10"/>
        <v>38626.434402791398</v>
      </c>
      <c r="Y27" s="6">
        <f t="shared" si="11"/>
        <v>0.23548640045695401</v>
      </c>
    </row>
    <row r="28" spans="1:25" x14ac:dyDescent="0.2">
      <c r="A28" t="s">
        <v>19</v>
      </c>
      <c r="B28" t="s">
        <v>11</v>
      </c>
      <c r="C28" t="s">
        <v>14</v>
      </c>
      <c r="D28">
        <v>2794</v>
      </c>
      <c r="E28">
        <v>419</v>
      </c>
      <c r="F28">
        <v>2206</v>
      </c>
      <c r="G28">
        <v>350</v>
      </c>
      <c r="H28">
        <v>0.14996420899999999</v>
      </c>
      <c r="I28">
        <v>0.15865820489999999</v>
      </c>
      <c r="J28" s="2">
        <v>5.7973805440000001</v>
      </c>
      <c r="K28">
        <f t="shared" si="0"/>
        <v>8.6939959000000011E-3</v>
      </c>
      <c r="L28">
        <f t="shared" si="1"/>
        <v>0.15379999999999999</v>
      </c>
      <c r="M28">
        <f t="shared" si="2"/>
        <v>2.2358209433475825E-2</v>
      </c>
      <c r="N28">
        <v>1.96</v>
      </c>
      <c r="O28">
        <f t="shared" si="3"/>
        <v>4.3822090489612615E-2</v>
      </c>
      <c r="P28">
        <f t="shared" si="4"/>
        <v>-3.5128094589612614E-2</v>
      </c>
      <c r="Q28">
        <f t="shared" si="5"/>
        <v>5.2516086389612616E-2</v>
      </c>
      <c r="R28">
        <f t="shared" si="6"/>
        <v>0.38885027559420376</v>
      </c>
      <c r="S28">
        <f t="shared" si="7"/>
        <v>0.69738690725791264</v>
      </c>
      <c r="T28" s="1" t="str">
        <f t="shared" si="8"/>
        <v>Not Significant</v>
      </c>
      <c r="U28" t="str">
        <f t="shared" si="9"/>
        <v>NewYear_24UKDisplay</v>
      </c>
      <c r="V28" s="4">
        <v>9475</v>
      </c>
      <c r="W28" s="4">
        <v>445236</v>
      </c>
      <c r="X28" s="2">
        <f t="shared" si="10"/>
        <v>0</v>
      </c>
      <c r="Y28" s="3" t="str">
        <f t="shared" si="11"/>
        <v>Inconclusive</v>
      </c>
    </row>
    <row r="29" spans="1:25" x14ac:dyDescent="0.2">
      <c r="A29" t="s">
        <v>18</v>
      </c>
      <c r="B29" t="s">
        <v>15</v>
      </c>
      <c r="C29" t="s">
        <v>12</v>
      </c>
      <c r="D29">
        <v>1494</v>
      </c>
      <c r="E29">
        <v>224</v>
      </c>
      <c r="F29">
        <v>1174</v>
      </c>
      <c r="G29">
        <v>322</v>
      </c>
      <c r="H29">
        <v>0.1499330656</v>
      </c>
      <c r="I29">
        <v>0.2742759796</v>
      </c>
      <c r="J29" s="2">
        <v>82.932282790000002</v>
      </c>
      <c r="K29" s="5">
        <f t="shared" si="0"/>
        <v>0.124342914</v>
      </c>
      <c r="L29">
        <f t="shared" si="1"/>
        <v>0.20464767616191903</v>
      </c>
      <c r="M29">
        <f t="shared" si="2"/>
        <v>3.0995739730230492E-2</v>
      </c>
      <c r="N29">
        <v>1.96</v>
      </c>
      <c r="O29">
        <f t="shared" si="3"/>
        <v>6.0751649871251763E-2</v>
      </c>
      <c r="P29">
        <f t="shared" si="4"/>
        <v>6.3591264128748243E-2</v>
      </c>
      <c r="Q29">
        <f t="shared" si="5"/>
        <v>0.18509456387125175</v>
      </c>
      <c r="R29">
        <f t="shared" si="6"/>
        <v>4.0116130501227225</v>
      </c>
      <c r="S29">
        <f t="shared" si="7"/>
        <v>6.0305286840867112E-5</v>
      </c>
      <c r="T29" s="1" t="str">
        <f t="shared" si="8"/>
        <v>Significant</v>
      </c>
      <c r="U29" t="str">
        <f t="shared" si="9"/>
        <v>ExamPrep_23DEYouTube</v>
      </c>
      <c r="V29" s="7">
        <v>24681</v>
      </c>
      <c r="W29" s="4">
        <v>803226</v>
      </c>
      <c r="X29" s="2">
        <f t="shared" si="10"/>
        <v>99875.461440564002</v>
      </c>
      <c r="Y29" s="6">
        <f t="shared" si="11"/>
        <v>0.24711775689454701</v>
      </c>
    </row>
    <row r="30" spans="1:25" x14ac:dyDescent="0.2">
      <c r="A30" t="s">
        <v>19</v>
      </c>
      <c r="B30" t="s">
        <v>11</v>
      </c>
      <c r="C30" t="s">
        <v>13</v>
      </c>
      <c r="D30">
        <v>1609</v>
      </c>
      <c r="E30">
        <v>241</v>
      </c>
      <c r="F30">
        <v>2381</v>
      </c>
      <c r="G30">
        <v>651</v>
      </c>
      <c r="H30">
        <v>0.14978247359999999</v>
      </c>
      <c r="I30">
        <v>0.27341453170000002</v>
      </c>
      <c r="J30" s="2">
        <v>82.541071169999995</v>
      </c>
      <c r="K30" s="5">
        <f t="shared" si="0"/>
        <v>0.12363205810000003</v>
      </c>
      <c r="L30">
        <f t="shared" si="1"/>
        <v>0.22355889724310776</v>
      </c>
      <c r="M30">
        <f t="shared" si="2"/>
        <v>2.2975475364543863E-2</v>
      </c>
      <c r="N30">
        <v>1.96</v>
      </c>
      <c r="O30">
        <f t="shared" si="3"/>
        <v>4.5031931714505972E-2</v>
      </c>
      <c r="P30">
        <f t="shared" si="4"/>
        <v>7.8600126385494046E-2</v>
      </c>
      <c r="Q30">
        <f t="shared" si="5"/>
        <v>0.168663989814506</v>
      </c>
      <c r="R30">
        <f t="shared" si="6"/>
        <v>5.3810446198989679</v>
      </c>
      <c r="S30">
        <f t="shared" si="7"/>
        <v>7.4054834264813962E-8</v>
      </c>
      <c r="T30" s="1" t="str">
        <f t="shared" si="8"/>
        <v>Significant</v>
      </c>
      <c r="U30" t="str">
        <f t="shared" si="9"/>
        <v>NewYear_24UKSocial</v>
      </c>
      <c r="V30" s="7">
        <v>13543</v>
      </c>
      <c r="W30" s="4">
        <v>388772</v>
      </c>
      <c r="X30" s="2">
        <f t="shared" si="10"/>
        <v>48064.682491653213</v>
      </c>
      <c r="Y30" s="6">
        <f t="shared" si="11"/>
        <v>0.28176613883493024</v>
      </c>
    </row>
    <row r="31" spans="1:25" x14ac:dyDescent="0.2">
      <c r="A31" t="s">
        <v>19</v>
      </c>
      <c r="B31" t="s">
        <v>15</v>
      </c>
      <c r="C31" t="s">
        <v>14</v>
      </c>
      <c r="D31">
        <v>1582</v>
      </c>
      <c r="E31">
        <v>237</v>
      </c>
      <c r="F31">
        <v>2608</v>
      </c>
      <c r="G31">
        <v>413</v>
      </c>
      <c r="H31">
        <v>0.14981036659999999</v>
      </c>
      <c r="I31">
        <v>0.1583588957</v>
      </c>
      <c r="J31" s="2">
        <v>5.7062333360000004</v>
      </c>
      <c r="K31">
        <f t="shared" si="0"/>
        <v>8.5485291000000074E-3</v>
      </c>
      <c r="L31">
        <f t="shared" si="1"/>
        <v>0.15513126491646778</v>
      </c>
      <c r="M31">
        <f t="shared" si="2"/>
        <v>2.1593600792535115E-2</v>
      </c>
      <c r="N31">
        <v>1.96</v>
      </c>
      <c r="O31">
        <f t="shared" si="3"/>
        <v>4.2323457553368825E-2</v>
      </c>
      <c r="P31">
        <f t="shared" si="4"/>
        <v>-3.3774928453368817E-2</v>
      </c>
      <c r="Q31">
        <f t="shared" si="5"/>
        <v>5.0871986653368832E-2</v>
      </c>
      <c r="R31">
        <f t="shared" si="6"/>
        <v>0.39588252011008856</v>
      </c>
      <c r="S31">
        <f t="shared" si="7"/>
        <v>0.69219169677258252</v>
      </c>
      <c r="T31" s="1" t="str">
        <f t="shared" si="8"/>
        <v>Not Significant</v>
      </c>
      <c r="U31" t="str">
        <f t="shared" si="9"/>
        <v>NewYear_24DEDisplay</v>
      </c>
      <c r="V31" s="4">
        <v>11286</v>
      </c>
      <c r="W31" s="4">
        <v>611667</v>
      </c>
      <c r="X31" s="2">
        <f t="shared" si="10"/>
        <v>0</v>
      </c>
      <c r="Y31" s="3" t="str">
        <f t="shared" si="11"/>
        <v>Inconclusive</v>
      </c>
    </row>
    <row r="32" spans="1:25" x14ac:dyDescent="0.2">
      <c r="A32" t="s">
        <v>10</v>
      </c>
      <c r="B32" t="s">
        <v>15</v>
      </c>
      <c r="C32" t="s">
        <v>12</v>
      </c>
      <c r="D32">
        <v>2236</v>
      </c>
      <c r="E32">
        <v>335</v>
      </c>
      <c r="F32">
        <v>1566</v>
      </c>
      <c r="G32">
        <v>425</v>
      </c>
      <c r="H32">
        <v>0.14982110909999999</v>
      </c>
      <c r="I32">
        <v>0.27139208170000001</v>
      </c>
      <c r="J32" s="2">
        <v>81.144087990000003</v>
      </c>
      <c r="K32" s="5">
        <f t="shared" si="0"/>
        <v>0.12157097260000002</v>
      </c>
      <c r="L32">
        <f t="shared" si="1"/>
        <v>0.19989479221462389</v>
      </c>
      <c r="M32">
        <f t="shared" si="2"/>
        <v>2.6647658784466011E-2</v>
      </c>
      <c r="N32">
        <v>1.96</v>
      </c>
      <c r="O32">
        <f t="shared" si="3"/>
        <v>5.2229411217553381E-2</v>
      </c>
      <c r="P32">
        <f t="shared" si="4"/>
        <v>6.934156138244664E-2</v>
      </c>
      <c r="Q32">
        <f t="shared" si="5"/>
        <v>0.17380038381755342</v>
      </c>
      <c r="R32">
        <f t="shared" si="6"/>
        <v>4.5621633623914688</v>
      </c>
      <c r="S32">
        <f t="shared" si="7"/>
        <v>5.0629229162435507E-6</v>
      </c>
      <c r="T32" s="1" t="str">
        <f t="shared" si="8"/>
        <v>Significant</v>
      </c>
      <c r="U32" t="str">
        <f t="shared" si="9"/>
        <v>BackToSchool_23DEYouTube</v>
      </c>
      <c r="V32" s="7">
        <v>17521</v>
      </c>
      <c r="W32" s="4">
        <v>418009</v>
      </c>
      <c r="X32" s="2">
        <f t="shared" si="10"/>
        <v>50817.76068555341</v>
      </c>
      <c r="Y32" s="6">
        <f t="shared" si="11"/>
        <v>0.34478103252945796</v>
      </c>
    </row>
    <row r="33" spans="1:25" x14ac:dyDescent="0.2">
      <c r="A33" t="s">
        <v>10</v>
      </c>
      <c r="B33" t="s">
        <v>11</v>
      </c>
      <c r="C33" t="s">
        <v>12</v>
      </c>
      <c r="D33">
        <v>1824</v>
      </c>
      <c r="E33">
        <v>273</v>
      </c>
      <c r="F33">
        <v>2204</v>
      </c>
      <c r="G33">
        <v>595</v>
      </c>
      <c r="H33">
        <v>0.14967105259999999</v>
      </c>
      <c r="I33">
        <v>0.26996370240000001</v>
      </c>
      <c r="J33" s="2">
        <v>80.371352790000003</v>
      </c>
      <c r="K33" s="5">
        <f t="shared" si="0"/>
        <v>0.12029264980000001</v>
      </c>
      <c r="L33">
        <f t="shared" si="1"/>
        <v>0.21549155908639522</v>
      </c>
      <c r="M33">
        <f t="shared" si="2"/>
        <v>2.3375289119441239E-2</v>
      </c>
      <c r="N33">
        <v>1.96</v>
      </c>
      <c r="O33">
        <f t="shared" si="3"/>
        <v>4.581556667410483E-2</v>
      </c>
      <c r="P33">
        <f t="shared" si="4"/>
        <v>7.4477083125895183E-2</v>
      </c>
      <c r="Q33">
        <f t="shared" si="5"/>
        <v>0.16610821647410484</v>
      </c>
      <c r="R33">
        <f t="shared" si="6"/>
        <v>5.146145965739203</v>
      </c>
      <c r="S33">
        <f t="shared" si="7"/>
        <v>2.6589255797127009E-7</v>
      </c>
      <c r="T33" s="1" t="str">
        <f t="shared" si="8"/>
        <v>Significant</v>
      </c>
      <c r="U33" t="str">
        <f t="shared" si="9"/>
        <v>BackToSchool_23UKYouTube</v>
      </c>
      <c r="V33" s="7">
        <v>14827</v>
      </c>
      <c r="W33" s="4">
        <v>406609</v>
      </c>
      <c r="X33" s="2">
        <f t="shared" si="10"/>
        <v>48912.074042528206</v>
      </c>
      <c r="Y33" s="6">
        <f t="shared" si="11"/>
        <v>0.30313578580021322</v>
      </c>
    </row>
    <row r="34" spans="1:25" x14ac:dyDescent="0.2">
      <c r="A34" t="s">
        <v>19</v>
      </c>
      <c r="B34" t="s">
        <v>16</v>
      </c>
      <c r="C34" t="s">
        <v>14</v>
      </c>
      <c r="D34">
        <v>1185</v>
      </c>
      <c r="E34">
        <v>177</v>
      </c>
      <c r="F34">
        <v>2637</v>
      </c>
      <c r="G34">
        <v>483</v>
      </c>
      <c r="H34">
        <v>0.1493670886</v>
      </c>
      <c r="I34">
        <v>0.18316268490000001</v>
      </c>
      <c r="J34" s="2">
        <v>22.62586529</v>
      </c>
      <c r="K34">
        <f t="shared" si="0"/>
        <v>3.3795596300000008E-2</v>
      </c>
      <c r="L34">
        <f t="shared" si="1"/>
        <v>0.17268445839874411</v>
      </c>
      <c r="M34">
        <f t="shared" si="2"/>
        <v>2.2355750922688936E-2</v>
      </c>
      <c r="N34">
        <v>1.96</v>
      </c>
      <c r="O34">
        <f t="shared" si="3"/>
        <v>4.3817271808470316E-2</v>
      </c>
      <c r="P34">
        <f t="shared" si="4"/>
        <v>-1.0021675508470308E-2</v>
      </c>
      <c r="Q34">
        <f t="shared" si="5"/>
        <v>7.7612868108470318E-2</v>
      </c>
      <c r="R34">
        <f t="shared" si="6"/>
        <v>1.5117182337946309</v>
      </c>
      <c r="S34">
        <f t="shared" si="7"/>
        <v>0.13060555799361029</v>
      </c>
      <c r="T34" s="1" t="str">
        <f t="shared" si="8"/>
        <v>Not Significant</v>
      </c>
      <c r="U34" t="str">
        <f t="shared" si="9"/>
        <v>NewYear_24SADisplay</v>
      </c>
      <c r="V34" s="4">
        <v>7608</v>
      </c>
      <c r="W34" s="4">
        <v>415482</v>
      </c>
      <c r="X34" s="2">
        <f t="shared" si="10"/>
        <v>0</v>
      </c>
      <c r="Y34" s="3" t="str">
        <f t="shared" si="11"/>
        <v>Inconclusive</v>
      </c>
    </row>
    <row r="35" spans="1:25" x14ac:dyDescent="0.2">
      <c r="A35" t="s">
        <v>18</v>
      </c>
      <c r="B35" t="s">
        <v>16</v>
      </c>
      <c r="C35" t="s">
        <v>13</v>
      </c>
      <c r="D35">
        <v>2964</v>
      </c>
      <c r="E35">
        <v>444</v>
      </c>
      <c r="F35">
        <v>2841</v>
      </c>
      <c r="G35">
        <v>760</v>
      </c>
      <c r="H35">
        <v>0.14979757090000001</v>
      </c>
      <c r="I35">
        <v>0.26751143960000001</v>
      </c>
      <c r="J35" s="2">
        <v>78.581961050000004</v>
      </c>
      <c r="K35" s="5">
        <f t="shared" si="0"/>
        <v>0.1177138687</v>
      </c>
      <c r="L35">
        <f t="shared" si="1"/>
        <v>0.2074074074074074</v>
      </c>
      <c r="M35">
        <f t="shared" si="2"/>
        <v>2.0185410724518411E-2</v>
      </c>
      <c r="N35">
        <v>1.96</v>
      </c>
      <c r="O35">
        <f t="shared" si="3"/>
        <v>3.9563405020056085E-2</v>
      </c>
      <c r="P35">
        <f t="shared" si="4"/>
        <v>7.815046367994391E-2</v>
      </c>
      <c r="Q35">
        <f t="shared" si="5"/>
        <v>0.15727727372005609</v>
      </c>
      <c r="R35">
        <f t="shared" si="6"/>
        <v>5.8316310877448565</v>
      </c>
      <c r="S35">
        <f t="shared" si="7"/>
        <v>5.4888165124111765E-9</v>
      </c>
      <c r="T35" s="1" t="str">
        <f t="shared" si="8"/>
        <v>Significant</v>
      </c>
      <c r="U35" t="str">
        <f t="shared" si="9"/>
        <v>ExamPrep_23SASocial</v>
      </c>
      <c r="V35" s="7">
        <v>17144</v>
      </c>
      <c r="W35" s="4">
        <v>414908</v>
      </c>
      <c r="X35" s="2">
        <f t="shared" si="10"/>
        <v>48840.425834579604</v>
      </c>
      <c r="Y35" s="6">
        <f t="shared" si="11"/>
        <v>0.35102069048427181</v>
      </c>
    </row>
    <row r="36" spans="1:25" x14ac:dyDescent="0.2">
      <c r="A36" t="s">
        <v>19</v>
      </c>
      <c r="B36" t="s">
        <v>15</v>
      </c>
      <c r="C36" t="s">
        <v>13</v>
      </c>
      <c r="D36">
        <v>2683</v>
      </c>
      <c r="E36">
        <v>402</v>
      </c>
      <c r="F36">
        <v>1725</v>
      </c>
      <c r="G36">
        <v>459</v>
      </c>
      <c r="H36">
        <v>0.14983227730000001</v>
      </c>
      <c r="I36">
        <v>0.26608695650000003</v>
      </c>
      <c r="J36" s="2">
        <v>77.589876700000005</v>
      </c>
      <c r="K36" s="5">
        <f t="shared" si="0"/>
        <v>0.11625467920000002</v>
      </c>
      <c r="L36">
        <f t="shared" si="1"/>
        <v>0.19532667876588022</v>
      </c>
      <c r="M36">
        <f t="shared" si="2"/>
        <v>2.526443440850485E-2</v>
      </c>
      <c r="N36">
        <v>1.96</v>
      </c>
      <c r="O36">
        <f t="shared" si="3"/>
        <v>4.9518291440669507E-2</v>
      </c>
      <c r="P36">
        <f t="shared" si="4"/>
        <v>6.6736387759330509E-2</v>
      </c>
      <c r="Q36">
        <f t="shared" si="5"/>
        <v>0.16577297064066954</v>
      </c>
      <c r="R36">
        <f t="shared" si="6"/>
        <v>4.6015152098898691</v>
      </c>
      <c r="S36">
        <f t="shared" si="7"/>
        <v>4.1942852266885211E-6</v>
      </c>
      <c r="T36" s="1" t="str">
        <f t="shared" si="8"/>
        <v>Significant</v>
      </c>
      <c r="U36" t="str">
        <f t="shared" si="9"/>
        <v>NewYear_24DESocial</v>
      </c>
      <c r="V36" s="7">
        <v>19477</v>
      </c>
      <c r="W36" s="4">
        <v>454532</v>
      </c>
      <c r="X36" s="2">
        <f t="shared" si="10"/>
        <v>52841.471846134409</v>
      </c>
      <c r="Y36" s="6">
        <f t="shared" si="11"/>
        <v>0.3685930637343674</v>
      </c>
    </row>
    <row r="37" spans="1:25" x14ac:dyDescent="0.2">
      <c r="A37" t="s">
        <v>19</v>
      </c>
      <c r="B37" t="s">
        <v>17</v>
      </c>
      <c r="C37" t="s">
        <v>14</v>
      </c>
      <c r="D37">
        <v>2113</v>
      </c>
      <c r="E37">
        <v>316</v>
      </c>
      <c r="F37">
        <v>1930</v>
      </c>
      <c r="G37">
        <v>354</v>
      </c>
      <c r="H37">
        <v>0.1495504023</v>
      </c>
      <c r="I37">
        <v>0.18341968910000001</v>
      </c>
      <c r="J37" s="2">
        <v>22.647406050000001</v>
      </c>
      <c r="K37">
        <f t="shared" si="0"/>
        <v>3.3869286800000009E-2</v>
      </c>
      <c r="L37">
        <f t="shared" si="1"/>
        <v>0.16571852584714322</v>
      </c>
      <c r="M37">
        <f t="shared" si="2"/>
        <v>2.4157106746945295E-2</v>
      </c>
      <c r="N37">
        <v>1.96</v>
      </c>
      <c r="O37">
        <f t="shared" si="3"/>
        <v>4.7347929224012777E-2</v>
      </c>
      <c r="P37">
        <f t="shared" si="4"/>
        <v>-1.3478642424012768E-2</v>
      </c>
      <c r="Q37">
        <f t="shared" si="5"/>
        <v>8.1217216024012787E-2</v>
      </c>
      <c r="R37">
        <f t="shared" si="6"/>
        <v>1.4020423536143389</v>
      </c>
      <c r="S37">
        <f t="shared" si="7"/>
        <v>0.16090259956006281</v>
      </c>
      <c r="T37" s="1" t="str">
        <f t="shared" si="8"/>
        <v>Not Significant</v>
      </c>
      <c r="U37" t="str">
        <f t="shared" si="9"/>
        <v>NewYear_24EGDisplay</v>
      </c>
      <c r="V37" s="4">
        <v>8814</v>
      </c>
      <c r="W37" s="4">
        <v>591654</v>
      </c>
      <c r="X37" s="2">
        <f t="shared" si="10"/>
        <v>0</v>
      </c>
      <c r="Y37" s="3" t="str">
        <f t="shared" si="11"/>
        <v>Inconclusive</v>
      </c>
    </row>
    <row r="38" spans="1:25" x14ac:dyDescent="0.2">
      <c r="A38" t="s">
        <v>20</v>
      </c>
      <c r="B38" t="s">
        <v>17</v>
      </c>
      <c r="C38" t="s">
        <v>12</v>
      </c>
      <c r="D38">
        <v>1137</v>
      </c>
      <c r="E38">
        <v>170</v>
      </c>
      <c r="F38">
        <v>1213</v>
      </c>
      <c r="G38">
        <v>315</v>
      </c>
      <c r="H38">
        <v>0.1495162709</v>
      </c>
      <c r="I38">
        <v>0.25968672710000001</v>
      </c>
      <c r="J38" s="2">
        <v>73.684593379999995</v>
      </c>
      <c r="K38" s="5">
        <f t="shared" si="0"/>
        <v>0.11017045620000002</v>
      </c>
      <c r="L38">
        <f t="shared" si="1"/>
        <v>0.20638297872340425</v>
      </c>
      <c r="M38">
        <f t="shared" si="2"/>
        <v>3.1120025669961693E-2</v>
      </c>
      <c r="N38">
        <v>1.96</v>
      </c>
      <c r="O38">
        <f t="shared" si="3"/>
        <v>6.0995250313124916E-2</v>
      </c>
      <c r="P38">
        <f t="shared" si="4"/>
        <v>4.9175205886875101E-2</v>
      </c>
      <c r="Q38">
        <f t="shared" si="5"/>
        <v>0.17116570651312493</v>
      </c>
      <c r="R38">
        <f t="shared" si="6"/>
        <v>3.5401788343105705</v>
      </c>
      <c r="S38">
        <f t="shared" si="7"/>
        <v>3.9985598097569408E-4</v>
      </c>
      <c r="T38" s="1" t="str">
        <f t="shared" si="8"/>
        <v>Significant</v>
      </c>
      <c r="U38" t="str">
        <f t="shared" si="9"/>
        <v>BackToSchool_24EGYouTube</v>
      </c>
      <c r="V38" s="7">
        <v>13818</v>
      </c>
      <c r="W38" s="4">
        <v>401715</v>
      </c>
      <c r="X38" s="2">
        <f t="shared" si="10"/>
        <v>44257.124812383008</v>
      </c>
      <c r="Y38" s="6">
        <f t="shared" si="11"/>
        <v>0.31222091490529374</v>
      </c>
    </row>
    <row r="39" spans="1:25" x14ac:dyDescent="0.2">
      <c r="A39" t="s">
        <v>20</v>
      </c>
      <c r="B39" t="s">
        <v>17</v>
      </c>
      <c r="C39" t="s">
        <v>13</v>
      </c>
      <c r="D39">
        <v>1970</v>
      </c>
      <c r="E39">
        <v>295</v>
      </c>
      <c r="F39">
        <v>2405</v>
      </c>
      <c r="G39">
        <v>622</v>
      </c>
      <c r="H39">
        <v>0.14974619289999999</v>
      </c>
      <c r="I39">
        <v>0.25862785859999998</v>
      </c>
      <c r="J39" s="2">
        <v>72.710807290000005</v>
      </c>
      <c r="K39" s="5">
        <f t="shared" si="0"/>
        <v>0.10888166569999999</v>
      </c>
      <c r="L39">
        <f t="shared" si="1"/>
        <v>0.20960000000000001</v>
      </c>
      <c r="M39">
        <f t="shared" si="2"/>
        <v>2.2358348911630816E-2</v>
      </c>
      <c r="N39">
        <v>1.96</v>
      </c>
      <c r="O39">
        <f t="shared" si="3"/>
        <v>4.3822363866796402E-2</v>
      </c>
      <c r="P39">
        <f t="shared" si="4"/>
        <v>6.5059301833203589E-2</v>
      </c>
      <c r="Q39">
        <f t="shared" si="5"/>
        <v>0.15270402956679641</v>
      </c>
      <c r="R39">
        <f t="shared" si="6"/>
        <v>4.8698437496589797</v>
      </c>
      <c r="S39">
        <f t="shared" si="7"/>
        <v>1.116865295580638E-6</v>
      </c>
      <c r="T39" s="1" t="str">
        <f t="shared" si="8"/>
        <v>Significant</v>
      </c>
      <c r="U39" t="str">
        <f t="shared" si="9"/>
        <v>BackToSchool_24EGSocial</v>
      </c>
      <c r="V39" s="7">
        <v>14903</v>
      </c>
      <c r="W39" s="4">
        <v>405417</v>
      </c>
      <c r="X39" s="2">
        <f t="shared" si="10"/>
        <v>44142.478263096898</v>
      </c>
      <c r="Y39" s="6">
        <f t="shared" si="11"/>
        <v>0.33761131196974287</v>
      </c>
    </row>
    <row r="40" spans="1:25" x14ac:dyDescent="0.2">
      <c r="A40" t="s">
        <v>20</v>
      </c>
      <c r="B40" t="s">
        <v>11</v>
      </c>
      <c r="C40" t="s">
        <v>14</v>
      </c>
      <c r="D40">
        <v>1111</v>
      </c>
      <c r="E40">
        <v>166</v>
      </c>
      <c r="F40">
        <v>2403</v>
      </c>
      <c r="G40">
        <v>382</v>
      </c>
      <c r="H40">
        <v>0.14941494150000001</v>
      </c>
      <c r="I40">
        <v>0.1589679567</v>
      </c>
      <c r="J40" s="2">
        <v>6.3936144080000004</v>
      </c>
      <c r="K40">
        <f t="shared" si="0"/>
        <v>9.5530151999999868E-3</v>
      </c>
      <c r="L40">
        <f t="shared" si="1"/>
        <v>0.15594763801935116</v>
      </c>
      <c r="M40">
        <f t="shared" si="2"/>
        <v>2.3121926958159573E-2</v>
      </c>
      <c r="N40">
        <v>1.96</v>
      </c>
      <c r="O40">
        <f t="shared" si="3"/>
        <v>4.5318976837992762E-2</v>
      </c>
      <c r="P40">
        <f t="shared" si="4"/>
        <v>-3.5765961637992776E-2</v>
      </c>
      <c r="Q40">
        <f t="shared" si="5"/>
        <v>5.4871992037992749E-2</v>
      </c>
      <c r="R40">
        <f t="shared" si="6"/>
        <v>0.41315826389758536</v>
      </c>
      <c r="S40">
        <f t="shared" si="7"/>
        <v>0.67949066416943205</v>
      </c>
      <c r="T40" s="1" t="str">
        <f t="shared" si="8"/>
        <v>Not Significant</v>
      </c>
      <c r="U40" t="str">
        <f t="shared" si="9"/>
        <v>BackToSchool_24UKDisplay</v>
      </c>
      <c r="V40" s="4">
        <v>11957</v>
      </c>
      <c r="W40" s="4">
        <v>709767</v>
      </c>
      <c r="X40" s="2">
        <f t="shared" si="10"/>
        <v>0</v>
      </c>
      <c r="Y40" s="3" t="str">
        <f t="shared" si="11"/>
        <v>Inconclusive</v>
      </c>
    </row>
    <row r="41" spans="1:25" x14ac:dyDescent="0.2">
      <c r="A41" t="s">
        <v>20</v>
      </c>
      <c r="B41" t="s">
        <v>16</v>
      </c>
      <c r="C41" t="s">
        <v>13</v>
      </c>
      <c r="D41">
        <v>2104</v>
      </c>
      <c r="E41">
        <v>315</v>
      </c>
      <c r="F41">
        <v>1712</v>
      </c>
      <c r="G41">
        <v>437</v>
      </c>
      <c r="H41">
        <v>0.14971482890000001</v>
      </c>
      <c r="I41">
        <v>0.2552570093</v>
      </c>
      <c r="J41" s="2">
        <v>70.495475450000001</v>
      </c>
      <c r="K41" s="5">
        <f t="shared" si="0"/>
        <v>0.10554218039999999</v>
      </c>
      <c r="L41">
        <f t="shared" si="1"/>
        <v>0.1970649895178197</v>
      </c>
      <c r="M41">
        <f t="shared" si="2"/>
        <v>2.567716305379085E-2</v>
      </c>
      <c r="N41">
        <v>1.96</v>
      </c>
      <c r="O41">
        <f t="shared" si="3"/>
        <v>5.0327239585430061E-2</v>
      </c>
      <c r="P41">
        <f t="shared" si="4"/>
        <v>5.5214940814569929E-2</v>
      </c>
      <c r="Q41">
        <f t="shared" si="5"/>
        <v>0.15586941998543005</v>
      </c>
      <c r="R41">
        <f t="shared" si="6"/>
        <v>4.1103520735098602</v>
      </c>
      <c r="S41">
        <f t="shared" si="7"/>
        <v>3.9505629922276242E-5</v>
      </c>
      <c r="T41" s="1" t="str">
        <f t="shared" si="8"/>
        <v>Significant</v>
      </c>
      <c r="U41" t="str">
        <f t="shared" si="9"/>
        <v>BackToSchool_24SASocial</v>
      </c>
      <c r="V41" s="7">
        <v>7531</v>
      </c>
      <c r="W41" s="4">
        <v>181130</v>
      </c>
      <c r="X41" s="2">
        <f t="shared" si="10"/>
        <v>19116.855135851998</v>
      </c>
      <c r="Y41" s="6">
        <f t="shared" si="11"/>
        <v>0.39394554943696075</v>
      </c>
    </row>
    <row r="42" spans="1:25" x14ac:dyDescent="0.2">
      <c r="A42" t="s">
        <v>19</v>
      </c>
      <c r="B42" t="s">
        <v>17</v>
      </c>
      <c r="C42" t="s">
        <v>12</v>
      </c>
      <c r="D42">
        <v>1970</v>
      </c>
      <c r="E42">
        <v>295</v>
      </c>
      <c r="F42">
        <v>2804</v>
      </c>
      <c r="G42">
        <v>713</v>
      </c>
      <c r="H42">
        <v>0.14974619289999999</v>
      </c>
      <c r="I42">
        <v>0.25427960059999999</v>
      </c>
      <c r="J42" s="2">
        <v>69.807055300000002</v>
      </c>
      <c r="K42" s="5">
        <f t="shared" si="0"/>
        <v>0.1045334077</v>
      </c>
      <c r="L42">
        <f t="shared" si="1"/>
        <v>0.21114369501466276</v>
      </c>
      <c r="M42">
        <f t="shared" si="2"/>
        <v>2.1004348056182846E-2</v>
      </c>
      <c r="N42">
        <v>1.96</v>
      </c>
      <c r="O42">
        <f t="shared" si="3"/>
        <v>4.1168522190118378E-2</v>
      </c>
      <c r="P42">
        <f t="shared" si="4"/>
        <v>6.3364885509881619E-2</v>
      </c>
      <c r="Q42">
        <f t="shared" si="5"/>
        <v>0.14570192989011838</v>
      </c>
      <c r="R42">
        <f t="shared" si="6"/>
        <v>4.9767508813123822</v>
      </c>
      <c r="S42">
        <f t="shared" si="7"/>
        <v>6.4660452814280234E-7</v>
      </c>
      <c r="T42" s="1" t="str">
        <f t="shared" si="8"/>
        <v>Significant</v>
      </c>
      <c r="U42" t="str">
        <f t="shared" si="9"/>
        <v>NewYear_24EGYouTube</v>
      </c>
      <c r="V42" s="7">
        <v>10183</v>
      </c>
      <c r="W42" s="4">
        <v>320996</v>
      </c>
      <c r="X42" s="2">
        <f t="shared" si="10"/>
        <v>33554.805738069197</v>
      </c>
      <c r="Y42" s="6">
        <f t="shared" si="11"/>
        <v>0.30347366870453973</v>
      </c>
    </row>
    <row r="43" spans="1:25" x14ac:dyDescent="0.2">
      <c r="A43" t="s">
        <v>20</v>
      </c>
      <c r="B43" t="s">
        <v>15</v>
      </c>
      <c r="C43" t="s">
        <v>14</v>
      </c>
      <c r="D43">
        <v>1892</v>
      </c>
      <c r="E43">
        <v>283</v>
      </c>
      <c r="F43">
        <v>2848</v>
      </c>
      <c r="G43">
        <v>458</v>
      </c>
      <c r="H43">
        <v>0.14957716700000001</v>
      </c>
      <c r="I43">
        <v>0.1608146067</v>
      </c>
      <c r="J43" s="2">
        <v>7.5128042239999999</v>
      </c>
      <c r="K43">
        <f t="shared" si="0"/>
        <v>1.123743969999999E-2</v>
      </c>
      <c r="L43">
        <f t="shared" si="1"/>
        <v>0.15632911392405063</v>
      </c>
      <c r="M43">
        <f t="shared" si="2"/>
        <v>2.0514216242771263E-2</v>
      </c>
      <c r="N43">
        <v>1.96</v>
      </c>
      <c r="O43">
        <f t="shared" si="3"/>
        <v>4.0207863835831678E-2</v>
      </c>
      <c r="P43">
        <f t="shared" si="4"/>
        <v>-2.8970424135831688E-2</v>
      </c>
      <c r="Q43">
        <f t="shared" si="5"/>
        <v>5.1445303535831668E-2</v>
      </c>
      <c r="R43">
        <f t="shared" si="6"/>
        <v>0.54778791288016204</v>
      </c>
      <c r="S43">
        <f t="shared" si="7"/>
        <v>0.58383753905711799</v>
      </c>
      <c r="T43" s="1" t="str">
        <f t="shared" si="8"/>
        <v>Not Significant</v>
      </c>
      <c r="U43" t="str">
        <f t="shared" si="9"/>
        <v>BackToSchool_24DEDisplay</v>
      </c>
      <c r="V43" s="4">
        <v>11696</v>
      </c>
      <c r="W43" s="4">
        <v>446576</v>
      </c>
      <c r="X43" s="2">
        <f t="shared" si="10"/>
        <v>0</v>
      </c>
      <c r="Y43" s="3" t="str">
        <f t="shared" si="11"/>
        <v>Inconclusive</v>
      </c>
    </row>
    <row r="44" spans="1:25" x14ac:dyDescent="0.2">
      <c r="A44" t="s">
        <v>10</v>
      </c>
      <c r="B44" t="s">
        <v>11</v>
      </c>
      <c r="C44" t="s">
        <v>13</v>
      </c>
      <c r="D44">
        <v>2473</v>
      </c>
      <c r="E44">
        <v>370</v>
      </c>
      <c r="F44">
        <v>1460</v>
      </c>
      <c r="G44">
        <v>364</v>
      </c>
      <c r="H44">
        <v>0.14961585120000001</v>
      </c>
      <c r="I44">
        <v>0.24931506849999999</v>
      </c>
      <c r="J44" s="2">
        <v>66.636801180000006</v>
      </c>
      <c r="K44" s="5">
        <f t="shared" si="0"/>
        <v>9.9699217299999976E-2</v>
      </c>
      <c r="L44">
        <f t="shared" si="1"/>
        <v>0.18662598525298754</v>
      </c>
      <c r="M44">
        <f t="shared" si="2"/>
        <v>2.731873201693704E-2</v>
      </c>
      <c r="N44">
        <v>1.96</v>
      </c>
      <c r="O44">
        <f t="shared" si="3"/>
        <v>5.3544714753196596E-2</v>
      </c>
      <c r="P44">
        <f t="shared" si="4"/>
        <v>4.615450254680338E-2</v>
      </c>
      <c r="Q44">
        <f t="shared" si="5"/>
        <v>0.15324393205319659</v>
      </c>
      <c r="R44">
        <f t="shared" si="6"/>
        <v>3.6494818733969261</v>
      </c>
      <c r="S44">
        <f t="shared" si="7"/>
        <v>2.627697802839446E-4</v>
      </c>
      <c r="T44" s="1" t="str">
        <f t="shared" si="8"/>
        <v>Significant</v>
      </c>
      <c r="U44" t="str">
        <f t="shared" si="9"/>
        <v>BackToSchool_23UKSocial</v>
      </c>
      <c r="V44" s="7">
        <v>13898</v>
      </c>
      <c r="W44" s="4">
        <v>347364</v>
      </c>
      <c r="X44" s="2">
        <f t="shared" si="10"/>
        <v>34631.918918197189</v>
      </c>
      <c r="Y44" s="6">
        <f t="shared" si="11"/>
        <v>0.40130609085878166</v>
      </c>
    </row>
    <row r="45" spans="1:25" x14ac:dyDescent="0.2">
      <c r="A45" t="s">
        <v>19</v>
      </c>
      <c r="B45" t="s">
        <v>11</v>
      </c>
      <c r="C45" t="s">
        <v>12</v>
      </c>
      <c r="D45">
        <v>1168</v>
      </c>
      <c r="E45">
        <v>175</v>
      </c>
      <c r="F45">
        <v>2025</v>
      </c>
      <c r="G45">
        <v>494</v>
      </c>
      <c r="H45">
        <v>0.14982876710000001</v>
      </c>
      <c r="I45">
        <v>0.24395061730000001</v>
      </c>
      <c r="J45" s="2">
        <v>62.819611989999999</v>
      </c>
      <c r="K45" s="5">
        <f t="shared" si="0"/>
        <v>9.4121850199999996E-2</v>
      </c>
      <c r="L45">
        <f t="shared" si="1"/>
        <v>0.2095208268086439</v>
      </c>
      <c r="M45">
        <f t="shared" si="2"/>
        <v>2.5211637978398295E-2</v>
      </c>
      <c r="N45">
        <v>1.96</v>
      </c>
      <c r="O45">
        <f t="shared" si="3"/>
        <v>4.9414810437660654E-2</v>
      </c>
      <c r="P45">
        <f t="shared" si="4"/>
        <v>4.4707039762339341E-2</v>
      </c>
      <c r="Q45">
        <f t="shared" si="5"/>
        <v>0.14353666063766066</v>
      </c>
      <c r="R45">
        <f t="shared" si="6"/>
        <v>3.7332699398843103</v>
      </c>
      <c r="S45">
        <f t="shared" si="7"/>
        <v>1.8900983633685087E-4</v>
      </c>
      <c r="T45" s="1" t="str">
        <f t="shared" si="8"/>
        <v>Significant</v>
      </c>
      <c r="U45" t="str">
        <f t="shared" si="9"/>
        <v>NewYear_24UKYouTube</v>
      </c>
      <c r="V45" s="7">
        <v>22121</v>
      </c>
      <c r="W45" s="4">
        <v>540531</v>
      </c>
      <c r="X45" s="2">
        <f t="shared" si="10"/>
        <v>50875.777810456195</v>
      </c>
      <c r="Y45" s="6">
        <f t="shared" si="11"/>
        <v>0.4348041632388292</v>
      </c>
    </row>
    <row r="46" spans="1:25" x14ac:dyDescent="0.2">
      <c r="A46" t="s">
        <v>20</v>
      </c>
      <c r="B46" t="s">
        <v>16</v>
      </c>
      <c r="C46" t="s">
        <v>14</v>
      </c>
      <c r="D46">
        <v>1968</v>
      </c>
      <c r="E46">
        <v>295</v>
      </c>
      <c r="F46">
        <v>1136</v>
      </c>
      <c r="G46">
        <v>202</v>
      </c>
      <c r="H46">
        <v>0.149898374</v>
      </c>
      <c r="I46">
        <v>0.1778169014</v>
      </c>
      <c r="J46" s="2">
        <v>18.62497016</v>
      </c>
      <c r="K46">
        <f t="shared" si="0"/>
        <v>2.7918527400000004E-2</v>
      </c>
      <c r="L46">
        <f t="shared" si="1"/>
        <v>0.16011597938144329</v>
      </c>
      <c r="M46">
        <f t="shared" si="2"/>
        <v>3.0799585068783338E-2</v>
      </c>
      <c r="N46">
        <v>1.96</v>
      </c>
      <c r="O46">
        <f t="shared" si="3"/>
        <v>6.0367186734815344E-2</v>
      </c>
      <c r="P46">
        <f t="shared" si="4"/>
        <v>-3.244865933481534E-2</v>
      </c>
      <c r="Q46">
        <f t="shared" si="5"/>
        <v>8.8285714134815341E-2</v>
      </c>
      <c r="R46">
        <f t="shared" si="6"/>
        <v>0.90645790641824564</v>
      </c>
      <c r="S46">
        <f t="shared" si="7"/>
        <v>0.36469353514030844</v>
      </c>
      <c r="T46" s="1" t="str">
        <f t="shared" si="8"/>
        <v>Not Significant</v>
      </c>
      <c r="U46" t="str">
        <f t="shared" si="9"/>
        <v>BackToSchool_24SADisplay</v>
      </c>
      <c r="V46" s="4">
        <v>7079</v>
      </c>
      <c r="W46" s="4">
        <v>368172</v>
      </c>
      <c r="X46" s="2">
        <f t="shared" si="10"/>
        <v>0</v>
      </c>
      <c r="Y46" s="3" t="str">
        <f t="shared" si="11"/>
        <v>Inconclusive</v>
      </c>
    </row>
    <row r="47" spans="1:25" x14ac:dyDescent="0.2">
      <c r="A47" t="s">
        <v>18</v>
      </c>
      <c r="B47" t="s">
        <v>11</v>
      </c>
      <c r="C47" t="s">
        <v>13</v>
      </c>
      <c r="D47">
        <v>2385</v>
      </c>
      <c r="E47">
        <v>357</v>
      </c>
      <c r="F47">
        <v>2128</v>
      </c>
      <c r="G47">
        <v>513</v>
      </c>
      <c r="H47">
        <v>0.1496855346</v>
      </c>
      <c r="I47">
        <v>0.2410714286</v>
      </c>
      <c r="J47" s="2">
        <v>61.051920770000002</v>
      </c>
      <c r="K47" s="5">
        <f t="shared" si="0"/>
        <v>9.1385893999999995E-2</v>
      </c>
      <c r="L47">
        <f t="shared" si="1"/>
        <v>0.19277642366496786</v>
      </c>
      <c r="M47">
        <f t="shared" si="2"/>
        <v>2.3133776941314615E-2</v>
      </c>
      <c r="N47">
        <v>1.96</v>
      </c>
      <c r="O47">
        <f t="shared" si="3"/>
        <v>4.5342202804976646E-2</v>
      </c>
      <c r="P47">
        <f t="shared" si="4"/>
        <v>4.6043691195023349E-2</v>
      </c>
      <c r="Q47">
        <f t="shared" si="5"/>
        <v>0.13672809680497663</v>
      </c>
      <c r="R47">
        <f t="shared" si="6"/>
        <v>3.9503231241412169</v>
      </c>
      <c r="S47">
        <f t="shared" si="7"/>
        <v>7.8045756324529592E-5</v>
      </c>
      <c r="T47" s="1" t="str">
        <f t="shared" si="8"/>
        <v>Significant</v>
      </c>
      <c r="U47" t="str">
        <f t="shared" si="9"/>
        <v>ExamPrep_23UKSocial</v>
      </c>
      <c r="V47" s="7">
        <v>15064</v>
      </c>
      <c r="W47" s="4">
        <v>457809</v>
      </c>
      <c r="X47" s="2">
        <f t="shared" si="10"/>
        <v>41837.284746245998</v>
      </c>
      <c r="Y47" s="6">
        <f t="shared" si="11"/>
        <v>0.36006160751987309</v>
      </c>
    </row>
    <row r="48" spans="1:25" x14ac:dyDescent="0.2">
      <c r="A48" t="s">
        <v>10</v>
      </c>
      <c r="B48" t="s">
        <v>15</v>
      </c>
      <c r="C48" t="s">
        <v>13</v>
      </c>
      <c r="D48">
        <v>2269</v>
      </c>
      <c r="E48">
        <v>340</v>
      </c>
      <c r="F48">
        <v>1134</v>
      </c>
      <c r="G48">
        <v>273</v>
      </c>
      <c r="H48">
        <v>0.149845747</v>
      </c>
      <c r="I48">
        <v>0.24074074070000001</v>
      </c>
      <c r="J48" s="2">
        <v>60.659041389999999</v>
      </c>
      <c r="K48" s="5">
        <f t="shared" si="0"/>
        <v>9.089499370000001E-2</v>
      </c>
      <c r="L48">
        <f t="shared" si="1"/>
        <v>0.18013517484572436</v>
      </c>
      <c r="M48">
        <f t="shared" si="2"/>
        <v>3.077211429201715E-2</v>
      </c>
      <c r="N48">
        <v>1.96</v>
      </c>
      <c r="O48">
        <f t="shared" si="3"/>
        <v>6.0313344012353609E-2</v>
      </c>
      <c r="P48">
        <f t="shared" si="4"/>
        <v>3.0581649687646401E-2</v>
      </c>
      <c r="Q48">
        <f t="shared" si="5"/>
        <v>0.15120833771235362</v>
      </c>
      <c r="R48">
        <f t="shared" si="6"/>
        <v>2.9538104804056262</v>
      </c>
      <c r="S48">
        <f t="shared" si="7"/>
        <v>3.138766977034857E-3</v>
      </c>
      <c r="T48" s="1" t="str">
        <f t="shared" si="8"/>
        <v>Significant</v>
      </c>
      <c r="U48" t="str">
        <f t="shared" si="9"/>
        <v>BackToSchool_23DESocial</v>
      </c>
      <c r="V48" s="7">
        <v>17000</v>
      </c>
      <c r="W48" s="4">
        <v>478683</v>
      </c>
      <c r="X48" s="2">
        <f t="shared" si="10"/>
        <v>43509.888269297102</v>
      </c>
      <c r="Y48" s="6">
        <f t="shared" si="11"/>
        <v>0.39071578154329822</v>
      </c>
    </row>
    <row r="49" spans="1:25" x14ac:dyDescent="0.2">
      <c r="A49" t="s">
        <v>20</v>
      </c>
      <c r="B49" t="s">
        <v>17</v>
      </c>
      <c r="C49" t="s">
        <v>14</v>
      </c>
      <c r="D49">
        <v>2247</v>
      </c>
      <c r="E49">
        <v>337</v>
      </c>
      <c r="F49">
        <v>1321</v>
      </c>
      <c r="G49">
        <v>236</v>
      </c>
      <c r="H49">
        <v>0.1499777481</v>
      </c>
      <c r="I49">
        <v>0.178652536</v>
      </c>
      <c r="J49" s="2">
        <v>19.119361510000001</v>
      </c>
      <c r="K49">
        <f t="shared" ref="K49" si="12">I49-H49</f>
        <v>2.8674787899999998E-2</v>
      </c>
      <c r="L49">
        <f t="shared" si="1"/>
        <v>0.16059417040358745</v>
      </c>
      <c r="M49">
        <f t="shared" si="2"/>
        <v>2.8583124553686761E-2</v>
      </c>
      <c r="N49">
        <v>1.96</v>
      </c>
      <c r="O49">
        <f t="shared" ref="O49" si="13">N49*M49</f>
        <v>5.6022924125226053E-2</v>
      </c>
      <c r="P49">
        <f t="shared" si="4"/>
        <v>-2.7348136225226055E-2</v>
      </c>
      <c r="Q49">
        <f t="shared" si="5"/>
        <v>8.4697712025226052E-2</v>
      </c>
      <c r="R49">
        <f t="shared" si="6"/>
        <v>1.0032069043445921</v>
      </c>
      <c r="S49">
        <f t="shared" ref="S49" si="14">2*(1-_xlfn.NORM.S.DIST(ABS(R49),TRUE))</f>
        <v>0.31576104240711134</v>
      </c>
      <c r="T49" s="1" t="str">
        <f t="shared" ref="T49" si="15">IF(S49&lt;0.05,"Significant","Not Significant")</f>
        <v>Not Significant</v>
      </c>
      <c r="U49" t="str">
        <f t="shared" si="9"/>
        <v>BackToSchool_24EGDisplay</v>
      </c>
      <c r="V49" s="4">
        <v>9333</v>
      </c>
      <c r="W49" s="4">
        <v>319361</v>
      </c>
      <c r="X49" s="2">
        <f t="shared" si="10"/>
        <v>0</v>
      </c>
      <c r="Y49" s="3" t="str">
        <f t="shared" si="11"/>
        <v>Inconclusive</v>
      </c>
    </row>
  </sheetData>
  <autoFilter ref="T1:T49" xr:uid="{00000000-0009-0000-0000-000001000000}"/>
  <sortState xmlns:xlrd2="http://schemas.microsoft.com/office/spreadsheetml/2017/richdata2" ref="A2:T48">
    <sortCondition descending="1" ref="K1:K49"/>
  </sortState>
  <conditionalFormatting sqref="P1:P1048576">
    <cfRule type="cellIs" dxfId="26" priority="5" operator="lessThan">
      <formula>0</formula>
    </cfRule>
  </conditionalFormatting>
  <conditionalFormatting sqref="S2:S49">
    <cfRule type="cellIs" dxfId="25" priority="2" operator="greaterThan">
      <formula>0.05</formula>
    </cfRule>
  </conditionalFormatting>
  <conditionalFormatting sqref="T2:T49">
    <cfRule type="containsText" dxfId="24" priority="6" operator="containsText" text="Not Significant">
      <formula>NOT(ISERROR(SEARCH("Not Significant",T2)))</formula>
    </cfRule>
    <cfRule type="expression" dxfId="23" priority="7">
      <formula>IF(AND(S3&lt;0.05,P3&gt;0), "Significant", "Not Significant")</formula>
    </cfRule>
  </conditionalFormatting>
  <conditionalFormatting sqref="Y1:Y48">
    <cfRule type="cellIs" dxfId="22" priority="1" operator="lessThan">
      <formula>0.2</formula>
    </cfRule>
  </conditionalFormatting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Brand Lift Study Results_Origin</vt:lpstr>
      <vt:lpstr>Brand Lift Study Results_Result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lau</cp:lastModifiedBy>
  <dcterms:created xsi:type="dcterms:W3CDTF">2026-02-18T18:23:14Z</dcterms:created>
  <dcterms:modified xsi:type="dcterms:W3CDTF">2026-02-19T04:29:25Z</dcterms:modified>
</cp:coreProperties>
</file>